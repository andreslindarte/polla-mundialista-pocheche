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polla mundialista github\polla-mundialista-pocheche\"/>
    </mc:Choice>
  </mc:AlternateContent>
  <xr:revisionPtr revIDLastSave="0" documentId="13_ncr:1_{1A29CD60-B9A0-45EA-A3C5-3329C6EA722D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<sst xmlns="http://schemas.openxmlformats.org/spreadsheetml/2006/main" count="355" uniqueCount="113">
  <si>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</si>
  <si>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</si>
  <si>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</si>
  <si>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</si>
  <si>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</si>
  <si>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</si>
  <si>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13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</si>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</sst>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  <fill>
      <patternFill patternType="solid">
        <fgColor theme="6" tint="0.39997558519241921"/>
        <bgColor rgb="FFE2EFDA"/>
      </patternFill>
    </fill>
    <fill>
      <patternFill patternType="solid">
        <fgColor theme="6" tint="0.39997558519241921"/>
        <bgColor rgb="FFF2F2F2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Normal="100" workbookViewId="0">
      <selection activeCell="B17" sqref="B17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9" t="s">
        <v>0</v>
      </c>
      <c r="B1" s="49"/>
      <c r="C1" s="49"/>
      <c r="D1" s="49"/>
    </row>
    <row r="2" spans="1:4" ht="19.5" customHeight="1" x14ac:dyDescent="0.25">
      <c r="A2" s="47" t="s">
        <v>1</v>
      </c>
      <c r="B2" s="47"/>
      <c r="C2" s="47"/>
      <c r="D2" s="47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100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101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102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103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104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105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106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107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108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109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110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111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6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7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8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6"/>
  <sheetViews>
    <sheetView showGridLines="0" tabSelected="1" topLeftCell="A28" zoomScaleNormal="100" workbookViewId="0">
      <selection activeCell="I38" sqref="I38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6" t="s">
        <v>9</v>
      </c>
      <c r="B1" s="46"/>
      <c r="C1" s="46"/>
      <c r="D1" s="46"/>
      <c r="E1" s="46"/>
      <c r="F1" s="46"/>
      <c r="G1" s="46"/>
    </row>
    <row r="2" spans="1:7" ht="18" customHeight="1" x14ac:dyDescent="0.25">
      <c r="A2" s="47" t="s">
        <v>10</v>
      </c>
      <c r="B2" s="47"/>
      <c r="C2" s="47"/>
      <c r="D2" s="47"/>
      <c r="E2" s="47"/>
      <c r="F2" s="47"/>
      <c r="G2" s="47"/>
    </row>
    <row r="3" spans="1:7" ht="6" customHeight="1" x14ac:dyDescent="0.25"/>
    <row r="4" spans="1:7" ht="27.75" customHeight="1" x14ac:dyDescent="0.25">
      <c r="A4" s="10" t="s">
        <v>2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</row>
    <row r="5" spans="1:7" ht="19.5" customHeight="1" x14ac:dyDescent="0.25">
      <c r="A5" s="11">
        <v>1</v>
      </c>
      <c r="B5" s="12" t="s">
        <v>17</v>
      </c>
      <c r="C5" s="11" t="s">
        <v>18</v>
      </c>
      <c r="D5" s="13">
        <v>2</v>
      </c>
      <c r="E5" s="13">
        <v>0</v>
      </c>
      <c r="F5" s="11" t="s">
        <v>19</v>
      </c>
      <c r="G5" s="11" t="s">
        <v>20</v>
      </c>
    </row>
    <row r="6" spans="1:7" ht="19.5" customHeight="1" x14ac:dyDescent="0.25">
      <c r="A6" s="14">
        <v>2</v>
      </c>
      <c r="B6" s="15" t="s">
        <v>17</v>
      </c>
      <c r="C6" s="14" t="s">
        <v>21</v>
      </c>
      <c r="D6" s="13">
        <v>2</v>
      </c>
      <c r="E6" s="13">
        <v>1</v>
      </c>
      <c r="F6" s="14" t="s">
        <v>22</v>
      </c>
      <c r="G6" s="14" t="s">
        <v>20</v>
      </c>
    </row>
    <row r="7" spans="1:7" ht="19.5" customHeight="1" x14ac:dyDescent="0.25">
      <c r="A7" s="11">
        <v>3</v>
      </c>
      <c r="B7" s="12" t="s">
        <v>17</v>
      </c>
      <c r="C7" s="11" t="s">
        <v>22</v>
      </c>
      <c r="D7" s="13"/>
      <c r="E7" s="13"/>
      <c r="F7" s="11" t="s">
        <v>19</v>
      </c>
      <c r="G7" s="11" t="s">
        <v>23</v>
      </c>
    </row>
    <row r="8" spans="1:7" ht="19.5" customHeight="1" x14ac:dyDescent="0.25">
      <c r="A8" s="14">
        <v>4</v>
      </c>
      <c r="B8" s="15" t="s">
        <v>17</v>
      </c>
      <c r="C8" s="14" t="s">
        <v>18</v>
      </c>
      <c r="D8" s="13"/>
      <c r="E8" s="13"/>
      <c r="F8" s="14" t="s">
        <v>21</v>
      </c>
      <c r="G8" s="14" t="s">
        <v>23</v>
      </c>
    </row>
    <row r="9" spans="1:7" ht="19.5" customHeight="1" x14ac:dyDescent="0.25">
      <c r="A9" s="11">
        <v>5</v>
      </c>
      <c r="B9" s="12" t="s">
        <v>17</v>
      </c>
      <c r="C9" s="11" t="s">
        <v>22</v>
      </c>
      <c r="D9" s="13"/>
      <c r="E9" s="13"/>
      <c r="F9" s="11" t="s">
        <v>18</v>
      </c>
      <c r="G9" s="11" t="s">
        <v>24</v>
      </c>
    </row>
    <row r="10" spans="1:7" ht="19.5" customHeight="1" x14ac:dyDescent="0.25">
      <c r="A10" s="14">
        <v>6</v>
      </c>
      <c r="B10" s="15" t="s">
        <v>17</v>
      </c>
      <c r="C10" s="14" t="s">
        <v>19</v>
      </c>
      <c r="D10" s="13"/>
      <c r="E10" s="13"/>
      <c r="F10" s="14" t="s">
        <v>21</v>
      </c>
      <c r="G10" s="14" t="s">
        <v>24</v>
      </c>
    </row>
    <row r="11" spans="1:7" ht="19.5" customHeight="1" x14ac:dyDescent="0.25">
      <c r="A11" s="11">
        <v>7</v>
      </c>
      <c r="B11" s="16" t="s">
        <v>25</v>
      </c>
      <c r="C11" s="11" t="s">
        <v>26</v>
      </c>
      <c r="D11" s="13">
        <v>1</v>
      </c>
      <c r="E11" s="13">
        <v>1</v>
      </c>
      <c r="F11" s="11" t="s">
        <v>27</v>
      </c>
      <c r="G11" s="11" t="s">
        <v>28</v>
      </c>
    </row>
    <row r="12" spans="1:7" ht="19.5" customHeight="1" x14ac:dyDescent="0.25">
      <c r="A12" s="14">
        <v>8</v>
      </c>
      <c r="B12" s="17" t="s">
        <v>25</v>
      </c>
      <c r="C12" s="14" t="s">
        <v>29</v>
      </c>
      <c r="D12" s="13">
        <v>1</v>
      </c>
      <c r="E12" s="13">
        <v>1</v>
      </c>
      <c r="F12" s="14" t="s">
        <v>30</v>
      </c>
      <c r="G12" s="14" t="s">
        <v>31</v>
      </c>
    </row>
    <row r="13" spans="1:7" ht="19.5" customHeight="1" x14ac:dyDescent="0.25">
      <c r="A13" s="11">
        <v>9</v>
      </c>
      <c r="B13" s="16" t="s">
        <v>25</v>
      </c>
      <c r="C13" s="11" t="s">
        <v>30</v>
      </c>
      <c r="D13" s="13"/>
      <c r="E13" s="13"/>
      <c r="F13" s="11" t="s">
        <v>27</v>
      </c>
      <c r="G13" s="11" t="s">
        <v>23</v>
      </c>
    </row>
    <row r="14" spans="1:7" ht="19.5" customHeight="1" x14ac:dyDescent="0.25">
      <c r="A14" s="14">
        <v>10</v>
      </c>
      <c r="B14" s="17" t="s">
        <v>25</v>
      </c>
      <c r="C14" s="14" t="s">
        <v>26</v>
      </c>
      <c r="D14" s="13"/>
      <c r="E14" s="13"/>
      <c r="F14" s="14" t="s">
        <v>29</v>
      </c>
      <c r="G14" s="14" t="s">
        <v>23</v>
      </c>
    </row>
    <row r="15" spans="1:7" ht="19.5" customHeight="1" x14ac:dyDescent="0.25">
      <c r="A15" s="11">
        <v>11</v>
      </c>
      <c r="B15" s="16" t="s">
        <v>25</v>
      </c>
      <c r="C15" s="11" t="s">
        <v>30</v>
      </c>
      <c r="D15" s="13"/>
      <c r="E15" s="13"/>
      <c r="F15" s="11" t="s">
        <v>26</v>
      </c>
      <c r="G15" s="11" t="s">
        <v>24</v>
      </c>
    </row>
    <row r="16" spans="1:7" ht="19.5" customHeight="1" x14ac:dyDescent="0.25">
      <c r="A16" s="14">
        <v>12</v>
      </c>
      <c r="B16" s="17" t="s">
        <v>25</v>
      </c>
      <c r="C16" s="14" t="s">
        <v>27</v>
      </c>
      <c r="D16" s="13"/>
      <c r="E16" s="13"/>
      <c r="F16" s="14" t="s">
        <v>29</v>
      </c>
      <c r="G16" s="14" t="s">
        <v>24</v>
      </c>
    </row>
    <row r="17" spans="1:14" ht="19.5" customHeight="1" x14ac:dyDescent="0.25">
      <c r="A17" s="11">
        <v>13</v>
      </c>
      <c r="B17" s="18" t="s">
        <v>32</v>
      </c>
      <c r="C17" s="11" t="s">
        <v>33</v>
      </c>
      <c r="D17" s="13">
        <v>1</v>
      </c>
      <c r="E17" s="13">
        <v>1</v>
      </c>
      <c r="F17" s="11" t="s">
        <v>34</v>
      </c>
      <c r="G17" s="11" t="s">
        <v>31</v>
      </c>
      <c r="N17" t="s">
        <v>112</v>
      </c>
    </row>
    <row r="18" spans="1:14" ht="19.5" customHeight="1" x14ac:dyDescent="0.25">
      <c r="A18" s="14">
        <v>14</v>
      </c>
      <c r="B18" s="19" t="s">
        <v>32</v>
      </c>
      <c r="C18" s="14" t="s">
        <v>35</v>
      </c>
      <c r="D18" s="13">
        <v>0</v>
      </c>
      <c r="E18" s="13">
        <v>1</v>
      </c>
      <c r="F18" s="14" t="s">
        <v>36</v>
      </c>
      <c r="G18" s="14" t="s">
        <v>31</v>
      </c>
    </row>
    <row r="19" spans="1:14" ht="19.5" customHeight="1" x14ac:dyDescent="0.25">
      <c r="A19" s="11">
        <v>15</v>
      </c>
      <c r="B19" s="18" t="s">
        <v>32</v>
      </c>
      <c r="C19" s="11" t="s">
        <v>36</v>
      </c>
      <c r="D19" s="13"/>
      <c r="E19" s="13"/>
      <c r="F19" s="11" t="s">
        <v>34</v>
      </c>
      <c r="G19" s="11" t="s">
        <v>37</v>
      </c>
    </row>
    <row r="20" spans="1:14" ht="19.5" customHeight="1" x14ac:dyDescent="0.25">
      <c r="A20" s="14">
        <v>16</v>
      </c>
      <c r="B20" s="19" t="s">
        <v>32</v>
      </c>
      <c r="C20" s="14" t="s">
        <v>33</v>
      </c>
      <c r="D20" s="13"/>
      <c r="E20" s="13"/>
      <c r="F20" s="14" t="s">
        <v>35</v>
      </c>
      <c r="G20" s="14" t="s">
        <v>37</v>
      </c>
    </row>
    <row r="21" spans="1:14" ht="19.5" customHeight="1" x14ac:dyDescent="0.25">
      <c r="A21" s="11">
        <v>17</v>
      </c>
      <c r="B21" s="18" t="s">
        <v>32</v>
      </c>
      <c r="C21" s="11" t="s">
        <v>36</v>
      </c>
      <c r="D21" s="13"/>
      <c r="E21" s="13"/>
      <c r="F21" s="11" t="s">
        <v>33</v>
      </c>
      <c r="G21" s="11" t="s">
        <v>24</v>
      </c>
    </row>
    <row r="22" spans="1:14" ht="19.5" customHeight="1" x14ac:dyDescent="0.25">
      <c r="A22" s="14">
        <v>18</v>
      </c>
      <c r="B22" s="19" t="s">
        <v>32</v>
      </c>
      <c r="C22" s="14" t="s">
        <v>34</v>
      </c>
      <c r="D22" s="13"/>
      <c r="E22" s="13"/>
      <c r="F22" s="14" t="s">
        <v>35</v>
      </c>
      <c r="G22" s="14" t="s">
        <v>24</v>
      </c>
    </row>
    <row r="23" spans="1:14" ht="19.5" customHeight="1" x14ac:dyDescent="0.25">
      <c r="A23" s="11">
        <v>19</v>
      </c>
      <c r="B23" s="20" t="s">
        <v>38</v>
      </c>
      <c r="C23" s="11" t="s">
        <v>39</v>
      </c>
      <c r="D23" s="13">
        <v>4</v>
      </c>
      <c r="E23" s="13">
        <v>1</v>
      </c>
      <c r="F23" s="11" t="s">
        <v>40</v>
      </c>
      <c r="G23" s="11" t="s">
        <v>28</v>
      </c>
    </row>
    <row r="24" spans="1:14" ht="19.5" customHeight="1" x14ac:dyDescent="0.25">
      <c r="A24" s="14">
        <v>20</v>
      </c>
      <c r="B24" s="21" t="s">
        <v>38</v>
      </c>
      <c r="C24" s="14" t="s">
        <v>41</v>
      </c>
      <c r="D24" s="13">
        <v>2</v>
      </c>
      <c r="E24" s="13">
        <v>0</v>
      </c>
      <c r="F24" s="14" t="s">
        <v>42</v>
      </c>
      <c r="G24" s="14" t="s">
        <v>31</v>
      </c>
    </row>
    <row r="25" spans="1:14" ht="19.5" customHeight="1" x14ac:dyDescent="0.25">
      <c r="A25" s="11">
        <v>21</v>
      </c>
      <c r="B25" s="20" t="s">
        <v>38</v>
      </c>
      <c r="C25" s="11" t="s">
        <v>39</v>
      </c>
      <c r="D25" s="13"/>
      <c r="E25" s="13"/>
      <c r="F25" s="11" t="s">
        <v>41</v>
      </c>
      <c r="G25" s="11" t="s">
        <v>37</v>
      </c>
    </row>
    <row r="26" spans="1:14" ht="19.5" customHeight="1" x14ac:dyDescent="0.25">
      <c r="A26" s="14">
        <v>22</v>
      </c>
      <c r="B26" s="21" t="s">
        <v>38</v>
      </c>
      <c r="C26" s="14" t="s">
        <v>42</v>
      </c>
      <c r="D26" s="13"/>
      <c r="E26" s="13"/>
      <c r="F26" s="14" t="s">
        <v>40</v>
      </c>
      <c r="G26" s="14" t="s">
        <v>37</v>
      </c>
    </row>
    <row r="27" spans="1:14" ht="19.5" customHeight="1" x14ac:dyDescent="0.25">
      <c r="A27" s="11">
        <v>23</v>
      </c>
      <c r="B27" s="20" t="s">
        <v>38</v>
      </c>
      <c r="C27" s="11" t="s">
        <v>42</v>
      </c>
      <c r="D27" s="13"/>
      <c r="E27" s="13"/>
      <c r="F27" s="11" t="s">
        <v>39</v>
      </c>
      <c r="G27" s="11" t="s">
        <v>43</v>
      </c>
    </row>
    <row r="28" spans="1:14" ht="19.5" customHeight="1" x14ac:dyDescent="0.25">
      <c r="A28" s="14">
        <v>24</v>
      </c>
      <c r="B28" s="21" t="s">
        <v>38</v>
      </c>
      <c r="C28" s="14" t="s">
        <v>40</v>
      </c>
      <c r="D28" s="13"/>
      <c r="E28" s="13"/>
      <c r="F28" s="14" t="s">
        <v>41</v>
      </c>
      <c r="G28" s="14" t="s">
        <v>43</v>
      </c>
    </row>
    <row r="29" spans="1:14" ht="19.5" customHeight="1" x14ac:dyDescent="0.25">
      <c r="A29" s="11">
        <v>25</v>
      </c>
      <c r="B29" s="22" t="s">
        <v>44</v>
      </c>
      <c r="C29" s="11" t="s">
        <v>45</v>
      </c>
      <c r="D29" s="13">
        <v>7</v>
      </c>
      <c r="E29" s="13">
        <v>1</v>
      </c>
      <c r="F29" s="11" t="s">
        <v>46</v>
      </c>
      <c r="G29" s="11" t="s">
        <v>47</v>
      </c>
    </row>
    <row r="30" spans="1:14" ht="19.5" customHeight="1" x14ac:dyDescent="0.25">
      <c r="A30" s="14">
        <v>26</v>
      </c>
      <c r="B30" s="23" t="s">
        <v>44</v>
      </c>
      <c r="C30" s="14" t="s">
        <v>48</v>
      </c>
      <c r="D30" s="13">
        <v>1</v>
      </c>
      <c r="E30" s="13">
        <v>0</v>
      </c>
      <c r="F30" s="14" t="s">
        <v>49</v>
      </c>
      <c r="G30" s="14" t="s">
        <v>47</v>
      </c>
    </row>
    <row r="31" spans="1:14" ht="19.5" customHeight="1" x14ac:dyDescent="0.25">
      <c r="A31" s="11">
        <v>27</v>
      </c>
      <c r="B31" s="22" t="s">
        <v>44</v>
      </c>
      <c r="C31" s="11" t="s">
        <v>45</v>
      </c>
      <c r="D31" s="13"/>
      <c r="E31" s="13"/>
      <c r="F31" s="11" t="s">
        <v>48</v>
      </c>
      <c r="G31" s="11" t="s">
        <v>50</v>
      </c>
    </row>
    <row r="32" spans="1:14" ht="19.5" customHeight="1" x14ac:dyDescent="0.25">
      <c r="A32" s="14">
        <v>28</v>
      </c>
      <c r="B32" s="23" t="s">
        <v>44</v>
      </c>
      <c r="C32" s="14" t="s">
        <v>49</v>
      </c>
      <c r="D32" s="13"/>
      <c r="E32" s="13"/>
      <c r="F32" s="14" t="s">
        <v>46</v>
      </c>
      <c r="G32" s="14" t="s">
        <v>50</v>
      </c>
    </row>
    <row r="33" spans="1:7" ht="19.5" customHeight="1" x14ac:dyDescent="0.25">
      <c r="A33" s="11">
        <v>29</v>
      </c>
      <c r="B33" s="22" t="s">
        <v>44</v>
      </c>
      <c r="C33" s="11" t="s">
        <v>49</v>
      </c>
      <c r="D33" s="13"/>
      <c r="E33" s="13"/>
      <c r="F33" s="11" t="s">
        <v>45</v>
      </c>
      <c r="G33" s="11" t="s">
        <v>43</v>
      </c>
    </row>
    <row r="34" spans="1:7" ht="19.5" customHeight="1" x14ac:dyDescent="0.25">
      <c r="A34" s="14">
        <v>30</v>
      </c>
      <c r="B34" s="23" t="s">
        <v>44</v>
      </c>
      <c r="C34" s="14" t="s">
        <v>46</v>
      </c>
      <c r="D34" s="13"/>
      <c r="E34" s="13"/>
      <c r="F34" s="14" t="s">
        <v>48</v>
      </c>
      <c r="G34" s="14" t="s">
        <v>43</v>
      </c>
    </row>
    <row r="35" spans="1:7" ht="19.5" customHeight="1" x14ac:dyDescent="0.25">
      <c r="A35" s="11">
        <v>31</v>
      </c>
      <c r="B35" s="24" t="s">
        <v>51</v>
      </c>
      <c r="C35" s="11" t="s">
        <v>52</v>
      </c>
      <c r="D35" s="13">
        <v>2</v>
      </c>
      <c r="E35" s="13">
        <v>2</v>
      </c>
      <c r="F35" s="11" t="s">
        <v>53</v>
      </c>
      <c r="G35" s="11" t="s">
        <v>47</v>
      </c>
    </row>
    <row r="36" spans="1:7" ht="19.5" customHeight="1" x14ac:dyDescent="0.25">
      <c r="A36" s="14">
        <v>32</v>
      </c>
      <c r="B36" s="25" t="s">
        <v>51</v>
      </c>
      <c r="C36" s="14" t="s">
        <v>54</v>
      </c>
      <c r="D36" s="13">
        <v>5</v>
      </c>
      <c r="E36" s="13">
        <v>1</v>
      </c>
      <c r="F36" s="14" t="s">
        <v>55</v>
      </c>
      <c r="G36" s="14" t="s">
        <v>47</v>
      </c>
    </row>
    <row r="37" spans="1:7" ht="19.5" customHeight="1" x14ac:dyDescent="0.25">
      <c r="A37" s="11">
        <v>33</v>
      </c>
      <c r="B37" s="24" t="s">
        <v>51</v>
      </c>
      <c r="C37" s="11" t="s">
        <v>52</v>
      </c>
      <c r="D37" s="13"/>
      <c r="E37" s="13"/>
      <c r="F37" s="11" t="s">
        <v>54</v>
      </c>
      <c r="G37" s="11" t="s">
        <v>50</v>
      </c>
    </row>
    <row r="38" spans="1:7" ht="19.5" customHeight="1" x14ac:dyDescent="0.25">
      <c r="A38" s="14">
        <v>34</v>
      </c>
      <c r="B38" s="25" t="s">
        <v>51</v>
      </c>
      <c r="C38" s="14" t="s">
        <v>55</v>
      </c>
      <c r="D38" s="13"/>
      <c r="E38" s="13"/>
      <c r="F38" s="14" t="s">
        <v>53</v>
      </c>
      <c r="G38" s="14" t="s">
        <v>50</v>
      </c>
    </row>
    <row r="39" spans="1:7" ht="19.5" customHeight="1" x14ac:dyDescent="0.25">
      <c r="A39" s="11">
        <v>35</v>
      </c>
      <c r="B39" s="24" t="s">
        <v>51</v>
      </c>
      <c r="C39" s="11" t="s">
        <v>53</v>
      </c>
      <c r="D39" s="13"/>
      <c r="E39" s="13"/>
      <c r="F39" s="11" t="s">
        <v>54</v>
      </c>
      <c r="G39" s="11" t="s">
        <v>43</v>
      </c>
    </row>
    <row r="40" spans="1:7" ht="19.5" customHeight="1" x14ac:dyDescent="0.25">
      <c r="A40" s="14">
        <v>36</v>
      </c>
      <c r="B40" s="25" t="s">
        <v>51</v>
      </c>
      <c r="C40" s="14" t="s">
        <v>55</v>
      </c>
      <c r="D40" s="13"/>
      <c r="E40" s="13"/>
      <c r="F40" s="14" t="s">
        <v>52</v>
      </c>
      <c r="G40" s="14" t="s">
        <v>43</v>
      </c>
    </row>
    <row r="41" spans="1:7" ht="19.5" customHeight="1" x14ac:dyDescent="0.25">
      <c r="A41" s="11">
        <v>37</v>
      </c>
      <c r="B41" s="26" t="s">
        <v>56</v>
      </c>
      <c r="C41" s="11" t="s">
        <v>57</v>
      </c>
      <c r="D41" s="13">
        <v>1</v>
      </c>
      <c r="E41" s="13">
        <v>1</v>
      </c>
      <c r="F41" s="11" t="s">
        <v>58</v>
      </c>
      <c r="G41" s="11" t="s">
        <v>59</v>
      </c>
    </row>
    <row r="42" spans="1:7" ht="19.5" customHeight="1" x14ac:dyDescent="0.25">
      <c r="A42" s="14">
        <v>38</v>
      </c>
      <c r="B42" s="27" t="s">
        <v>56</v>
      </c>
      <c r="C42" s="14" t="s">
        <v>60</v>
      </c>
      <c r="D42" s="13"/>
      <c r="E42" s="13"/>
      <c r="F42" s="14" t="s">
        <v>61</v>
      </c>
      <c r="G42" s="14" t="s">
        <v>59</v>
      </c>
    </row>
    <row r="43" spans="1:7" ht="19.5" customHeight="1" x14ac:dyDescent="0.25">
      <c r="A43" s="11">
        <v>39</v>
      </c>
      <c r="B43" s="26" t="s">
        <v>56</v>
      </c>
      <c r="C43" s="11" t="s">
        <v>57</v>
      </c>
      <c r="D43" s="13"/>
      <c r="E43" s="13"/>
      <c r="F43" s="11" t="s">
        <v>60</v>
      </c>
      <c r="G43" s="11" t="s">
        <v>62</v>
      </c>
    </row>
    <row r="44" spans="1:7" ht="19.5" customHeight="1" x14ac:dyDescent="0.25">
      <c r="A44" s="14">
        <v>40</v>
      </c>
      <c r="B44" s="27" t="s">
        <v>56</v>
      </c>
      <c r="C44" s="14" t="s">
        <v>61</v>
      </c>
      <c r="D44" s="13"/>
      <c r="E44" s="13"/>
      <c r="F44" s="14" t="s">
        <v>58</v>
      </c>
      <c r="G44" s="14" t="s">
        <v>62</v>
      </c>
    </row>
    <row r="45" spans="1:7" ht="19.5" customHeight="1" x14ac:dyDescent="0.25">
      <c r="A45" s="11">
        <v>41</v>
      </c>
      <c r="B45" s="26" t="s">
        <v>56</v>
      </c>
      <c r="C45" s="11" t="s">
        <v>58</v>
      </c>
      <c r="D45" s="13"/>
      <c r="E45" s="13"/>
      <c r="F45" s="11" t="s">
        <v>60</v>
      </c>
      <c r="G45" s="11" t="s">
        <v>63</v>
      </c>
    </row>
    <row r="46" spans="1:7" ht="19.5" customHeight="1" x14ac:dyDescent="0.25">
      <c r="A46" s="14">
        <v>42</v>
      </c>
      <c r="B46" s="27" t="s">
        <v>56</v>
      </c>
      <c r="C46" s="14" t="s">
        <v>61</v>
      </c>
      <c r="D46" s="13"/>
      <c r="E46" s="13"/>
      <c r="F46" s="14" t="s">
        <v>57</v>
      </c>
      <c r="G46" s="14" t="s">
        <v>63</v>
      </c>
    </row>
    <row r="47" spans="1:7" ht="19.5" customHeight="1" x14ac:dyDescent="0.25">
      <c r="A47" s="11">
        <v>43</v>
      </c>
      <c r="B47" s="28" t="s">
        <v>64</v>
      </c>
      <c r="C47" s="11" t="s">
        <v>65</v>
      </c>
      <c r="D47" s="13">
        <v>0</v>
      </c>
      <c r="E47" s="13">
        <v>0</v>
      </c>
      <c r="F47" s="11" t="s">
        <v>66</v>
      </c>
      <c r="G47" s="11" t="s">
        <v>59</v>
      </c>
    </row>
    <row r="48" spans="1:7" ht="19.5" customHeight="1" x14ac:dyDescent="0.25">
      <c r="A48" s="14">
        <v>44</v>
      </c>
      <c r="B48" s="29" t="s">
        <v>64</v>
      </c>
      <c r="C48" s="14" t="s">
        <v>67</v>
      </c>
      <c r="D48" s="13"/>
      <c r="E48" s="13"/>
      <c r="F48" s="14" t="s">
        <v>68</v>
      </c>
      <c r="G48" s="14" t="s">
        <v>59</v>
      </c>
    </row>
    <row r="49" spans="1:7" ht="19.5" customHeight="1" x14ac:dyDescent="0.25">
      <c r="A49" s="11">
        <v>45</v>
      </c>
      <c r="B49" s="28" t="s">
        <v>64</v>
      </c>
      <c r="C49" s="11" t="s">
        <v>65</v>
      </c>
      <c r="D49" s="13"/>
      <c r="E49" s="13"/>
      <c r="F49" s="11" t="s">
        <v>67</v>
      </c>
      <c r="G49" s="11" t="s">
        <v>62</v>
      </c>
    </row>
    <row r="50" spans="1:7" ht="19.5" customHeight="1" x14ac:dyDescent="0.25">
      <c r="A50" s="14">
        <v>46</v>
      </c>
      <c r="B50" s="29" t="s">
        <v>64</v>
      </c>
      <c r="C50" s="14" t="s">
        <v>68</v>
      </c>
      <c r="D50" s="13"/>
      <c r="E50" s="13"/>
      <c r="F50" s="14" t="s">
        <v>66</v>
      </c>
      <c r="G50" s="14" t="s">
        <v>62</v>
      </c>
    </row>
    <row r="51" spans="1:7" ht="19.5" customHeight="1" x14ac:dyDescent="0.25">
      <c r="A51" s="11">
        <v>47</v>
      </c>
      <c r="B51" s="28" t="s">
        <v>64</v>
      </c>
      <c r="C51" s="11" t="s">
        <v>66</v>
      </c>
      <c r="D51" s="13"/>
      <c r="E51" s="13"/>
      <c r="F51" s="11" t="s">
        <v>67</v>
      </c>
      <c r="G51" s="11" t="s">
        <v>63</v>
      </c>
    </row>
    <row r="52" spans="1:7" ht="19.5" customHeight="1" x14ac:dyDescent="0.25">
      <c r="A52" s="14">
        <v>48</v>
      </c>
      <c r="B52" s="29" t="s">
        <v>64</v>
      </c>
      <c r="C52" s="14" t="s">
        <v>68</v>
      </c>
      <c r="D52" s="13"/>
      <c r="E52" s="13"/>
      <c r="F52" s="14" t="s">
        <v>65</v>
      </c>
      <c r="G52" s="14" t="s">
        <v>63</v>
      </c>
    </row>
    <row r="53" spans="1:7" ht="19.5" customHeight="1" x14ac:dyDescent="0.25">
      <c r="A53" s="11">
        <v>49</v>
      </c>
      <c r="B53" s="30" t="s">
        <v>69</v>
      </c>
      <c r="C53" s="11" t="s">
        <v>70</v>
      </c>
      <c r="D53" s="13"/>
      <c r="E53" s="13"/>
      <c r="F53" s="11" t="s">
        <v>71</v>
      </c>
      <c r="G53" s="11" t="s">
        <v>72</v>
      </c>
    </row>
    <row r="54" spans="1:7" ht="19.5" customHeight="1" x14ac:dyDescent="0.25">
      <c r="A54" s="14">
        <v>50</v>
      </c>
      <c r="B54" s="31" t="s">
        <v>69</v>
      </c>
      <c r="C54" s="14" t="s">
        <v>73</v>
      </c>
      <c r="D54" s="13"/>
      <c r="E54" s="13"/>
      <c r="F54" s="14" t="s">
        <v>74</v>
      </c>
      <c r="G54" s="14" t="s">
        <v>72</v>
      </c>
    </row>
    <row r="55" spans="1:7" ht="19.5" customHeight="1" x14ac:dyDescent="0.25">
      <c r="A55" s="11">
        <v>51</v>
      </c>
      <c r="B55" s="30" t="s">
        <v>69</v>
      </c>
      <c r="C55" s="11" t="s">
        <v>70</v>
      </c>
      <c r="D55" s="13"/>
      <c r="E55" s="13"/>
      <c r="F55" s="11" t="s">
        <v>73</v>
      </c>
      <c r="G55" s="11" t="s">
        <v>75</v>
      </c>
    </row>
    <row r="56" spans="1:7" ht="19.5" customHeight="1" x14ac:dyDescent="0.25">
      <c r="A56" s="14">
        <v>52</v>
      </c>
      <c r="B56" s="31" t="s">
        <v>69</v>
      </c>
      <c r="C56" s="14" t="s">
        <v>74</v>
      </c>
      <c r="D56" s="13"/>
      <c r="E56" s="13"/>
      <c r="F56" s="14" t="s">
        <v>71</v>
      </c>
      <c r="G56" s="14" t="s">
        <v>75</v>
      </c>
    </row>
    <row r="57" spans="1:7" ht="19.5" customHeight="1" x14ac:dyDescent="0.25">
      <c r="A57" s="11">
        <v>53</v>
      </c>
      <c r="B57" s="30" t="s">
        <v>69</v>
      </c>
      <c r="C57" s="11" t="s">
        <v>74</v>
      </c>
      <c r="D57" s="13"/>
      <c r="E57" s="13"/>
      <c r="F57" s="11" t="s">
        <v>70</v>
      </c>
      <c r="G57" s="11" t="s">
        <v>63</v>
      </c>
    </row>
    <row r="58" spans="1:7" ht="19.5" customHeight="1" x14ac:dyDescent="0.25">
      <c r="A58" s="14">
        <v>54</v>
      </c>
      <c r="B58" s="31" t="s">
        <v>69</v>
      </c>
      <c r="C58" s="14" t="s">
        <v>71</v>
      </c>
      <c r="D58" s="13"/>
      <c r="E58" s="13"/>
      <c r="F58" s="14" t="s">
        <v>73</v>
      </c>
      <c r="G58" s="14" t="s">
        <v>63</v>
      </c>
    </row>
    <row r="59" spans="1:7" ht="19.5" customHeight="1" x14ac:dyDescent="0.25">
      <c r="A59" s="11">
        <v>55</v>
      </c>
      <c r="B59" s="32" t="s">
        <v>76</v>
      </c>
      <c r="C59" s="11" t="s">
        <v>77</v>
      </c>
      <c r="D59" s="13"/>
      <c r="E59" s="13"/>
      <c r="F59" s="11" t="s">
        <v>78</v>
      </c>
      <c r="G59" s="11" t="s">
        <v>72</v>
      </c>
    </row>
    <row r="60" spans="1:7" ht="19.5" customHeight="1" x14ac:dyDescent="0.25">
      <c r="A60" s="14">
        <v>56</v>
      </c>
      <c r="B60" s="33" t="s">
        <v>76</v>
      </c>
      <c r="C60" s="14" t="s">
        <v>79</v>
      </c>
      <c r="D60" s="13"/>
      <c r="E60" s="13"/>
      <c r="F60" s="14" t="s">
        <v>80</v>
      </c>
      <c r="G60" s="14" t="s">
        <v>72</v>
      </c>
    </row>
    <row r="61" spans="1:7" ht="19.5" customHeight="1" x14ac:dyDescent="0.25">
      <c r="A61" s="11">
        <v>57</v>
      </c>
      <c r="B61" s="32" t="s">
        <v>76</v>
      </c>
      <c r="C61" s="11" t="s">
        <v>77</v>
      </c>
      <c r="D61" s="13"/>
      <c r="E61" s="13"/>
      <c r="F61" s="11" t="s">
        <v>79</v>
      </c>
      <c r="G61" s="11" t="s">
        <v>75</v>
      </c>
    </row>
    <row r="62" spans="1:7" ht="19.5" customHeight="1" x14ac:dyDescent="0.25">
      <c r="A62" s="14">
        <v>58</v>
      </c>
      <c r="B62" s="33" t="s">
        <v>76</v>
      </c>
      <c r="C62" s="14" t="s">
        <v>80</v>
      </c>
      <c r="D62" s="13"/>
      <c r="E62" s="13"/>
      <c r="F62" s="14" t="s">
        <v>78</v>
      </c>
      <c r="G62" s="14" t="s">
        <v>75</v>
      </c>
    </row>
    <row r="63" spans="1:7" ht="19.5" customHeight="1" x14ac:dyDescent="0.25">
      <c r="A63" s="11">
        <v>59</v>
      </c>
      <c r="B63" s="32" t="s">
        <v>76</v>
      </c>
      <c r="C63" s="11" t="s">
        <v>78</v>
      </c>
      <c r="D63" s="13"/>
      <c r="E63" s="13"/>
      <c r="F63" s="11" t="s">
        <v>79</v>
      </c>
      <c r="G63" s="11" t="s">
        <v>81</v>
      </c>
    </row>
    <row r="64" spans="1:7" ht="19.5" customHeight="1" x14ac:dyDescent="0.25">
      <c r="A64" s="14">
        <v>60</v>
      </c>
      <c r="B64" s="33" t="s">
        <v>76</v>
      </c>
      <c r="C64" s="14" t="s">
        <v>80</v>
      </c>
      <c r="D64" s="13"/>
      <c r="E64" s="13"/>
      <c r="F64" s="14" t="s">
        <v>77</v>
      </c>
      <c r="G64" s="14" t="s">
        <v>81</v>
      </c>
    </row>
    <row r="65" spans="1:7" ht="19.5" customHeight="1" x14ac:dyDescent="0.25">
      <c r="A65" s="11">
        <v>61</v>
      </c>
      <c r="B65" s="34" t="s">
        <v>82</v>
      </c>
      <c r="C65" s="11" t="s">
        <v>83</v>
      </c>
      <c r="D65" s="13"/>
      <c r="E65" s="13"/>
      <c r="F65" s="11" t="s">
        <v>84</v>
      </c>
      <c r="G65" s="11" t="s">
        <v>85</v>
      </c>
    </row>
    <row r="66" spans="1:7" ht="19.5" customHeight="1" x14ac:dyDescent="0.25">
      <c r="A66" s="14">
        <v>62</v>
      </c>
      <c r="B66" s="35" t="s">
        <v>82</v>
      </c>
      <c r="C66" s="14" t="s">
        <v>86</v>
      </c>
      <c r="D66" s="13"/>
      <c r="E66" s="13"/>
      <c r="F66" s="14" t="s">
        <v>87</v>
      </c>
      <c r="G66" s="14" t="s">
        <v>85</v>
      </c>
    </row>
    <row r="67" spans="1:7" ht="19.5" customHeight="1" x14ac:dyDescent="0.25">
      <c r="A67" s="11">
        <v>63</v>
      </c>
      <c r="B67" s="34" t="s">
        <v>82</v>
      </c>
      <c r="C67" s="11" t="s">
        <v>83</v>
      </c>
      <c r="D67" s="13"/>
      <c r="E67" s="13"/>
      <c r="F67" s="11" t="s">
        <v>86</v>
      </c>
      <c r="G67" s="11" t="s">
        <v>88</v>
      </c>
    </row>
    <row r="68" spans="1:7" ht="19.5" customHeight="1" x14ac:dyDescent="0.25">
      <c r="A68" s="14">
        <v>64</v>
      </c>
      <c r="B68" s="35" t="s">
        <v>82</v>
      </c>
      <c r="C68" s="14" t="s">
        <v>87</v>
      </c>
      <c r="D68" s="13"/>
      <c r="E68" s="13"/>
      <c r="F68" s="14" t="s">
        <v>84</v>
      </c>
      <c r="G68" s="14" t="s">
        <v>88</v>
      </c>
    </row>
    <row r="69" spans="1:7" ht="19.5" customHeight="1" x14ac:dyDescent="0.25">
      <c r="A69" s="11">
        <v>65</v>
      </c>
      <c r="B69" s="34" t="s">
        <v>82</v>
      </c>
      <c r="C69" s="11" t="s">
        <v>87</v>
      </c>
      <c r="D69" s="13"/>
      <c r="E69" s="13"/>
      <c r="F69" s="11" t="s">
        <v>83</v>
      </c>
      <c r="G69" s="11" t="s">
        <v>81</v>
      </c>
    </row>
    <row r="70" spans="1:7" ht="19.5" customHeight="1" x14ac:dyDescent="0.25">
      <c r="A70" s="14">
        <v>66</v>
      </c>
      <c r="B70" s="35" t="s">
        <v>82</v>
      </c>
      <c r="C70" s="14" t="s">
        <v>84</v>
      </c>
      <c r="D70" s="13"/>
      <c r="E70" s="13"/>
      <c r="F70" s="14" t="s">
        <v>86</v>
      </c>
      <c r="G70" s="14" t="s">
        <v>81</v>
      </c>
    </row>
    <row r="71" spans="1:7" ht="19.5" customHeight="1" x14ac:dyDescent="0.25">
      <c r="A71" s="11">
        <v>67</v>
      </c>
      <c r="B71" s="36" t="s">
        <v>89</v>
      </c>
      <c r="C71" s="11" t="s">
        <v>90</v>
      </c>
      <c r="D71" s="13"/>
      <c r="E71" s="13"/>
      <c r="F71" s="11" t="s">
        <v>91</v>
      </c>
      <c r="G71" s="11" t="s">
        <v>85</v>
      </c>
    </row>
    <row r="72" spans="1:7" ht="19.5" customHeight="1" x14ac:dyDescent="0.25">
      <c r="A72" s="14">
        <v>68</v>
      </c>
      <c r="B72" s="37" t="s">
        <v>89</v>
      </c>
      <c r="C72" s="14" t="s">
        <v>92</v>
      </c>
      <c r="D72" s="13"/>
      <c r="E72" s="13"/>
      <c r="F72" s="14" t="s">
        <v>93</v>
      </c>
      <c r="G72" s="14" t="s">
        <v>85</v>
      </c>
    </row>
    <row r="73" spans="1:7" ht="19.5" customHeight="1" x14ac:dyDescent="0.25">
      <c r="A73" s="11">
        <v>69</v>
      </c>
      <c r="B73" s="36" t="s">
        <v>89</v>
      </c>
      <c r="C73" s="11" t="s">
        <v>90</v>
      </c>
      <c r="D73" s="13"/>
      <c r="E73" s="13"/>
      <c r="F73" s="11" t="s">
        <v>92</v>
      </c>
      <c r="G73" s="11" t="s">
        <v>88</v>
      </c>
    </row>
    <row r="74" spans="1:7" ht="19.5" customHeight="1" x14ac:dyDescent="0.25">
      <c r="A74" s="14">
        <v>70</v>
      </c>
      <c r="B74" s="37" t="s">
        <v>89</v>
      </c>
      <c r="C74" s="14" t="s">
        <v>93</v>
      </c>
      <c r="D74" s="13"/>
      <c r="E74" s="13"/>
      <c r="F74" s="14" t="s">
        <v>91</v>
      </c>
      <c r="G74" s="14" t="s">
        <v>88</v>
      </c>
    </row>
    <row r="75" spans="1:7" ht="19.5" customHeight="1" x14ac:dyDescent="0.25">
      <c r="A75" s="11">
        <v>71</v>
      </c>
      <c r="B75" s="36" t="s">
        <v>89</v>
      </c>
      <c r="C75" s="11" t="s">
        <v>90</v>
      </c>
      <c r="D75" s="13"/>
      <c r="E75" s="13"/>
      <c r="F75" s="11" t="s">
        <v>93</v>
      </c>
      <c r="G75" s="11" t="s">
        <v>81</v>
      </c>
    </row>
    <row r="76" spans="1:7" ht="19.5" customHeight="1" x14ac:dyDescent="0.25">
      <c r="A76" s="14">
        <v>72</v>
      </c>
      <c r="B76" s="37" t="s">
        <v>89</v>
      </c>
      <c r="C76" s="14" t="s">
        <v>91</v>
      </c>
      <c r="D76" s="13"/>
      <c r="E76" s="13"/>
      <c r="F76" s="14" t="s">
        <v>92</v>
      </c>
      <c r="G76" s="14" t="s">
        <v>81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topLeftCell="A35" zoomScaleNormal="100" workbookViewId="0">
      <selection activeCell="C48" sqref="C48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6" t="s">
        <v>94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</row>
    <row r="2" spans="1:33" ht="18" customHeight="1" x14ac:dyDescent="0.25">
      <c r="A2" s="47" t="s">
        <v>95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</row>
    <row r="3" spans="1:33" ht="6" customHeight="1" x14ac:dyDescent="0.25"/>
    <row r="4" spans="1:33" ht="30" customHeight="1" x14ac:dyDescent="0.25">
      <c r="A4" s="38" t="s">
        <v>2</v>
      </c>
      <c r="B4" s="38" t="s">
        <v>96</v>
      </c>
      <c r="C4" s="39" t="s">
        <v>97</v>
      </c>
      <c r="D4" s="48" t="str">
        <f>Participantes!B5</f>
        <v>Andres Jesús</v>
      </c>
      <c r="E4" s="48"/>
      <c r="F4" s="48" t="str">
        <f>Participantes!B6</f>
        <v>Leonardo Fabio</v>
      </c>
      <c r="G4" s="48"/>
      <c r="H4" s="48" t="str">
        <f>Participantes!B7</f>
        <v>Martha Cenidia</v>
      </c>
      <c r="I4" s="48"/>
      <c r="J4" s="48" t="str">
        <f>Participantes!B8</f>
        <v>Freddy Ramón</v>
      </c>
      <c r="K4" s="48"/>
      <c r="L4" s="48" t="str">
        <f>Participantes!B9</f>
        <v xml:space="preserve">Juan Camilo </v>
      </c>
      <c r="M4" s="48"/>
      <c r="N4" s="48" t="str">
        <f>Participantes!B10</f>
        <v xml:space="preserve">Juan David </v>
      </c>
      <c r="O4" s="48"/>
      <c r="P4" s="48" t="str">
        <f>Participantes!B11</f>
        <v>María Trinidad</v>
      </c>
      <c r="Q4" s="48"/>
      <c r="R4" s="48" t="str">
        <f>Participantes!B12</f>
        <v xml:space="preserve">María Gabriela </v>
      </c>
      <c r="S4" s="48"/>
      <c r="T4" s="48" t="str">
        <f>Participantes!B13</f>
        <v>Laura Valentina</v>
      </c>
      <c r="U4" s="48"/>
      <c r="V4" s="48" t="str">
        <f>Participantes!B14</f>
        <v>Gloria Isabel</v>
      </c>
      <c r="W4" s="48"/>
      <c r="X4" s="48" t="str">
        <f>Participantes!B15</f>
        <v xml:space="preserve">María del Pilar </v>
      </c>
      <c r="Y4" s="48"/>
      <c r="Z4" s="48" t="str">
        <f>Participantes!B16</f>
        <v>Jaime Andres</v>
      </c>
      <c r="AA4" s="48"/>
      <c r="AB4" s="48" t="str">
        <f>Participantes!B17</f>
        <v>Participante 13</v>
      </c>
      <c r="AC4" s="48"/>
      <c r="AD4" s="48" t="str">
        <f>Participantes!B18</f>
        <v>Participante 14</v>
      </c>
      <c r="AE4" s="48"/>
      <c r="AF4" s="48" t="str">
        <f>Participantes!B19</f>
        <v>Participante 15</v>
      </c>
      <c r="AG4" s="48"/>
    </row>
    <row r="5" spans="1:33" ht="15.75" customHeight="1" x14ac:dyDescent="0.25">
      <c r="A5" s="40"/>
      <c r="B5" s="40"/>
      <c r="C5" s="41" t="s">
        <v>98</v>
      </c>
      <c r="D5" s="42" t="s">
        <v>89</v>
      </c>
      <c r="E5" s="42" t="s">
        <v>99</v>
      </c>
      <c r="F5" s="42" t="s">
        <v>89</v>
      </c>
      <c r="G5" s="42" t="s">
        <v>99</v>
      </c>
      <c r="H5" s="42" t="s">
        <v>89</v>
      </c>
      <c r="I5" s="42" t="s">
        <v>99</v>
      </c>
      <c r="J5" s="42" t="s">
        <v>89</v>
      </c>
      <c r="K5" s="42" t="s">
        <v>99</v>
      </c>
      <c r="L5" s="42" t="s">
        <v>89</v>
      </c>
      <c r="M5" s="42" t="s">
        <v>99</v>
      </c>
      <c r="N5" s="42" t="s">
        <v>89</v>
      </c>
      <c r="O5" s="42" t="s">
        <v>99</v>
      </c>
      <c r="P5" s="42" t="s">
        <v>89</v>
      </c>
      <c r="Q5" s="42" t="s">
        <v>99</v>
      </c>
      <c r="R5" s="42" t="s">
        <v>89</v>
      </c>
      <c r="S5" s="42" t="s">
        <v>99</v>
      </c>
      <c r="T5" s="42" t="s">
        <v>89</v>
      </c>
      <c r="U5" s="42" t="s">
        <v>99</v>
      </c>
      <c r="V5" s="42" t="s">
        <v>89</v>
      </c>
      <c r="W5" s="42" t="s">
        <v>99</v>
      </c>
      <c r="X5" s="42" t="s">
        <v>89</v>
      </c>
      <c r="Y5" s="42" t="s">
        <v>99</v>
      </c>
      <c r="Z5" s="42" t="s">
        <v>89</v>
      </c>
      <c r="AA5" s="42" t="s">
        <v>99</v>
      </c>
      <c r="AB5" s="42" t="s">
        <v>89</v>
      </c>
      <c r="AC5" s="42" t="s">
        <v>99</v>
      </c>
      <c r="AD5" s="42" t="s">
        <v>89</v>
      </c>
      <c r="AE5" s="42" t="s">
        <v>99</v>
      </c>
      <c r="AF5" s="42" t="s">
        <v>89</v>
      </c>
      <c r="AG5" s="42" t="s">
        <v>99</v>
      </c>
    </row>
    <row r="6" spans="1:33" ht="19.5" customHeight="1" x14ac:dyDescent="0.25">
      <c r="A6" s="12">
        <v>1</v>
      </c>
      <c r="B6" s="44" t="str">
        <f>Fixture!C5&amp;" vs "&amp;Fixture!F5</f>
        <v>México vs Sudáfrica</v>
      </c>
      <c r="C6" s="43" t="str">
        <f>IF(ISNUMBER(Fixture!D5),Fixture!D5&amp;"-"&amp;Fixture!E5,"")</f>
        <v>2-0</v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2</v>
      </c>
      <c r="S6" s="2">
        <v>1</v>
      </c>
      <c r="T6" s="2">
        <v>2</v>
      </c>
      <c r="U6" s="2">
        <v>1</v>
      </c>
      <c r="V6" s="2">
        <v>3</v>
      </c>
      <c r="W6" s="2">
        <v>0</v>
      </c>
      <c r="X6" s="2">
        <v>2</v>
      </c>
      <c r="Y6" s="2">
        <v>0</v>
      </c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45" t="str">
        <f>Fixture!C6&amp;" vs "&amp;Fixture!F6</f>
        <v>Corea del Sur vs Chequia</v>
      </c>
      <c r="C7" s="43" t="str">
        <f>IF(ISNUMBER(Fixture!D6),Fixture!D6&amp;"-"&amp;Fixture!E6,"")</f>
        <v>2-1</v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>
        <v>2</v>
      </c>
      <c r="Y7" s="6">
        <v>1</v>
      </c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44" t="str">
        <f>Fixture!C11&amp;" vs "&amp;Fixture!F11</f>
        <v>Canadá vs Bosnia-Herzegovina</v>
      </c>
      <c r="C12" s="43" t="str">
        <f>IF(ISNUMBER(Fixture!D11),Fixture!D11&amp;"-"&amp;Fixture!E11,"")</f>
        <v>1-1</v>
      </c>
      <c r="D12" s="2">
        <v>0</v>
      </c>
      <c r="E12" s="2">
        <v>2</v>
      </c>
      <c r="F12" s="2">
        <v>2</v>
      </c>
      <c r="G12" s="2">
        <v>0</v>
      </c>
      <c r="H12" s="2">
        <v>2</v>
      </c>
      <c r="I12" s="2">
        <v>2</v>
      </c>
      <c r="J12" s="2">
        <v>1</v>
      </c>
      <c r="K12" s="2">
        <v>1</v>
      </c>
      <c r="L12" s="2">
        <v>2</v>
      </c>
      <c r="M12" s="2">
        <v>0</v>
      </c>
      <c r="N12" s="2">
        <v>1</v>
      </c>
      <c r="O12" s="2">
        <v>1</v>
      </c>
      <c r="P12" s="2">
        <v>1</v>
      </c>
      <c r="Q12" s="2">
        <v>0</v>
      </c>
      <c r="R12" s="2">
        <v>1</v>
      </c>
      <c r="S12" s="2">
        <v>0</v>
      </c>
      <c r="T12" s="2">
        <v>1</v>
      </c>
      <c r="U12" s="2">
        <v>0</v>
      </c>
      <c r="V12" s="2">
        <v>1</v>
      </c>
      <c r="W12" s="2">
        <v>1</v>
      </c>
      <c r="X12" s="2">
        <v>1</v>
      </c>
      <c r="Y12" s="2">
        <v>1</v>
      </c>
      <c r="Z12" s="2">
        <v>2</v>
      </c>
      <c r="AA12" s="2">
        <v>0</v>
      </c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45" t="str">
        <f>Fixture!C12&amp;" vs "&amp;Fixture!F12</f>
        <v>Qatar vs Suiza</v>
      </c>
      <c r="C13" s="43" t="str">
        <f>IF(ISNUMBER(Fixture!D12),Fixture!D12&amp;"-"&amp;Fixture!E12,"")</f>
        <v>1-1</v>
      </c>
      <c r="D13" s="6">
        <v>0</v>
      </c>
      <c r="E13" s="6">
        <v>2</v>
      </c>
      <c r="F13" s="6">
        <v>0</v>
      </c>
      <c r="G13" s="6">
        <v>2</v>
      </c>
      <c r="H13" s="6">
        <v>0</v>
      </c>
      <c r="I13" s="6">
        <v>2</v>
      </c>
      <c r="J13" s="6">
        <v>2</v>
      </c>
      <c r="K13" s="6">
        <v>1</v>
      </c>
      <c r="L13" s="6">
        <v>0</v>
      </c>
      <c r="M13" s="6">
        <v>3</v>
      </c>
      <c r="N13" s="6">
        <v>0</v>
      </c>
      <c r="O13" s="6">
        <v>2</v>
      </c>
      <c r="P13" s="6"/>
      <c r="Q13" s="6"/>
      <c r="R13" s="6"/>
      <c r="S13" s="6"/>
      <c r="T13" s="6">
        <v>0</v>
      </c>
      <c r="U13" s="6">
        <v>2</v>
      </c>
      <c r="V13" s="6">
        <v>1</v>
      </c>
      <c r="W13" s="6">
        <v>2</v>
      </c>
      <c r="X13" s="6">
        <v>0</v>
      </c>
      <c r="Y13" s="6">
        <v>3</v>
      </c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44" t="str">
        <f>Fixture!C17&amp;" vs "&amp;Fixture!F17</f>
        <v>Brasil vs Marruecos</v>
      </c>
      <c r="C18" s="43" t="str">
        <f>IF(ISNUMBER(Fixture!D17),Fixture!D17&amp;"-"&amp;Fixture!E17,"")</f>
        <v>1-1</v>
      </c>
      <c r="D18" s="2">
        <v>1</v>
      </c>
      <c r="E18" s="2">
        <v>1</v>
      </c>
      <c r="F18" s="2">
        <v>1</v>
      </c>
      <c r="G18" s="2">
        <v>0</v>
      </c>
      <c r="H18" s="2">
        <v>2</v>
      </c>
      <c r="I18" s="2">
        <v>1</v>
      </c>
      <c r="J18" s="2">
        <v>2</v>
      </c>
      <c r="K18" s="2">
        <v>2</v>
      </c>
      <c r="L18" s="2">
        <v>2</v>
      </c>
      <c r="M18" s="2">
        <v>1</v>
      </c>
      <c r="N18" s="2">
        <v>2</v>
      </c>
      <c r="O18" s="2">
        <v>1</v>
      </c>
      <c r="P18" s="2">
        <v>3</v>
      </c>
      <c r="Q18" s="2">
        <v>1</v>
      </c>
      <c r="R18" s="2"/>
      <c r="S18" s="2"/>
      <c r="T18" s="2">
        <v>2</v>
      </c>
      <c r="U18" s="2">
        <v>1</v>
      </c>
      <c r="V18" s="2">
        <v>2</v>
      </c>
      <c r="W18" s="2">
        <v>2</v>
      </c>
      <c r="X18" s="2">
        <v>2</v>
      </c>
      <c r="Y18" s="2">
        <v>1</v>
      </c>
      <c r="Z18" s="2">
        <v>2</v>
      </c>
      <c r="AA18" s="2">
        <v>0</v>
      </c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45" t="str">
        <f>Fixture!C18&amp;" vs "&amp;Fixture!F18</f>
        <v>Haití vs Escocia</v>
      </c>
      <c r="C19" s="43" t="str">
        <f>IF(ISNUMBER(Fixture!D18),Fixture!D18&amp;"-"&amp;Fixture!E18,"")</f>
        <v>0-1</v>
      </c>
      <c r="D19" s="6">
        <v>0</v>
      </c>
      <c r="E19" s="6">
        <v>2</v>
      </c>
      <c r="F19" s="6">
        <v>1</v>
      </c>
      <c r="G19" s="6">
        <v>2</v>
      </c>
      <c r="H19" s="6">
        <v>0</v>
      </c>
      <c r="I19" s="6">
        <v>2</v>
      </c>
      <c r="J19" s="6">
        <v>0</v>
      </c>
      <c r="K19" s="6">
        <v>4</v>
      </c>
      <c r="L19" s="6">
        <v>0</v>
      </c>
      <c r="M19" s="6">
        <v>2</v>
      </c>
      <c r="N19" s="6">
        <v>0</v>
      </c>
      <c r="O19" s="6">
        <v>3</v>
      </c>
      <c r="P19" s="6">
        <v>1</v>
      </c>
      <c r="Q19" s="6">
        <v>1</v>
      </c>
      <c r="R19" s="6"/>
      <c r="S19" s="6"/>
      <c r="T19" s="6">
        <v>0</v>
      </c>
      <c r="U19" s="6">
        <v>2</v>
      </c>
      <c r="V19" s="6">
        <v>0</v>
      </c>
      <c r="W19" s="6">
        <v>2</v>
      </c>
      <c r="X19" s="6">
        <v>1</v>
      </c>
      <c r="Y19" s="6">
        <v>3</v>
      </c>
      <c r="Z19" s="6">
        <v>1</v>
      </c>
      <c r="AA19" s="6">
        <v>1</v>
      </c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44" t="str">
        <f>Fixture!C23&amp;" vs "&amp;Fixture!F23</f>
        <v>Estados Unidos vs Paraguay</v>
      </c>
      <c r="C24" s="43" t="str">
        <f>IF(ISNUMBER(Fixture!D23),Fixture!D23&amp;"-"&amp;Fixture!E23,"")</f>
        <v>4-1</v>
      </c>
      <c r="D24" s="2">
        <v>2</v>
      </c>
      <c r="E24" s="2">
        <v>0</v>
      </c>
      <c r="F24" s="2">
        <v>0</v>
      </c>
      <c r="G24" s="2">
        <v>1</v>
      </c>
      <c r="H24" s="2">
        <v>1</v>
      </c>
      <c r="I24" s="2">
        <v>0</v>
      </c>
      <c r="J24" s="2">
        <v>3</v>
      </c>
      <c r="K24" s="2">
        <v>1</v>
      </c>
      <c r="L24" s="2">
        <v>1</v>
      </c>
      <c r="M24" s="2">
        <v>2</v>
      </c>
      <c r="N24" s="2">
        <v>1</v>
      </c>
      <c r="O24" s="2">
        <v>2</v>
      </c>
      <c r="P24" s="2">
        <v>1</v>
      </c>
      <c r="Q24" s="2">
        <v>1</v>
      </c>
      <c r="R24" s="2">
        <v>2</v>
      </c>
      <c r="S24" s="2">
        <v>1</v>
      </c>
      <c r="T24" s="2">
        <v>2</v>
      </c>
      <c r="U24" s="2">
        <v>1</v>
      </c>
      <c r="V24" s="2">
        <v>1</v>
      </c>
      <c r="W24" s="2">
        <v>1</v>
      </c>
      <c r="X24" s="2">
        <v>2</v>
      </c>
      <c r="Y24" s="2">
        <v>1</v>
      </c>
      <c r="Z24" s="2">
        <v>2</v>
      </c>
      <c r="AA24" s="2">
        <v>1</v>
      </c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45" t="str">
        <f>Fixture!C24&amp;" vs "&amp;Fixture!F24</f>
        <v>Australia vs Turquía</v>
      </c>
      <c r="C25" s="43" t="str">
        <f>IF(ISNUMBER(Fixture!D24),Fixture!D24&amp;"-"&amp;Fixture!E24,"")</f>
        <v>2-0</v>
      </c>
      <c r="D25" s="6">
        <v>1</v>
      </c>
      <c r="E25" s="6">
        <v>2</v>
      </c>
      <c r="F25" s="6">
        <v>1</v>
      </c>
      <c r="G25" s="6">
        <v>1</v>
      </c>
      <c r="H25" s="6">
        <v>1</v>
      </c>
      <c r="I25" s="6">
        <v>1</v>
      </c>
      <c r="J25" s="6">
        <v>0</v>
      </c>
      <c r="K25" s="6">
        <v>2</v>
      </c>
      <c r="L25" s="6">
        <v>1</v>
      </c>
      <c r="M25" s="6">
        <v>1</v>
      </c>
      <c r="N25" s="6">
        <v>1</v>
      </c>
      <c r="O25" s="6">
        <v>3</v>
      </c>
      <c r="P25" s="6">
        <v>1</v>
      </c>
      <c r="Q25" s="6">
        <v>2</v>
      </c>
      <c r="R25" s="6"/>
      <c r="S25" s="6"/>
      <c r="T25" s="6">
        <v>1</v>
      </c>
      <c r="U25" s="6">
        <v>2</v>
      </c>
      <c r="V25" s="6">
        <v>1</v>
      </c>
      <c r="W25" s="6">
        <v>2</v>
      </c>
      <c r="X25" s="6">
        <v>1</v>
      </c>
      <c r="Y25" s="6">
        <v>1</v>
      </c>
      <c r="Z25" s="6"/>
      <c r="AA25" s="6"/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44" t="str">
        <f>Fixture!C29&amp;" vs "&amp;Fixture!F29</f>
        <v>Alemania vs Curazao</v>
      </c>
      <c r="C30" s="43" t="str">
        <f>IF(ISNUMBER(Fixture!D29),Fixture!D29&amp;"-"&amp;Fixture!E29,"")</f>
        <v>7-1</v>
      </c>
      <c r="D30" s="2">
        <v>5</v>
      </c>
      <c r="E30" s="2">
        <v>0</v>
      </c>
      <c r="F30" s="2">
        <v>3</v>
      </c>
      <c r="G30" s="2">
        <v>0</v>
      </c>
      <c r="H30" s="2">
        <v>7</v>
      </c>
      <c r="I30" s="2">
        <v>0</v>
      </c>
      <c r="J30" s="2">
        <v>6</v>
      </c>
      <c r="K30" s="2">
        <v>0</v>
      </c>
      <c r="L30" s="2">
        <v>4</v>
      </c>
      <c r="M30" s="2">
        <v>0</v>
      </c>
      <c r="N30" s="2">
        <v>6</v>
      </c>
      <c r="O30" s="2">
        <v>0</v>
      </c>
      <c r="P30" s="2">
        <v>2</v>
      </c>
      <c r="Q30" s="2">
        <v>0</v>
      </c>
      <c r="R30" s="2">
        <v>3</v>
      </c>
      <c r="S30" s="2">
        <v>0</v>
      </c>
      <c r="T30" s="2">
        <v>3</v>
      </c>
      <c r="U30" s="2">
        <v>0</v>
      </c>
      <c r="V30" s="2">
        <v>4</v>
      </c>
      <c r="W30" s="2">
        <v>0</v>
      </c>
      <c r="X30" s="2">
        <v>4</v>
      </c>
      <c r="Y30" s="2">
        <v>0</v>
      </c>
      <c r="Z30" s="2">
        <v>2</v>
      </c>
      <c r="AA30" s="2">
        <v>1</v>
      </c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45" t="str">
        <f>Fixture!C30&amp;" vs "&amp;Fixture!F30</f>
        <v>Costa de Marfil vs Ecuador</v>
      </c>
      <c r="C31" s="43" t="str">
        <f>IF(ISNUMBER(Fixture!D30),Fixture!D30&amp;"-"&amp;Fixture!E30,"")</f>
        <v>1-0</v>
      </c>
      <c r="D31" s="6">
        <v>1</v>
      </c>
      <c r="E31" s="6">
        <v>1</v>
      </c>
      <c r="F31" s="6">
        <v>1</v>
      </c>
      <c r="G31" s="6">
        <v>3</v>
      </c>
      <c r="H31" s="6">
        <v>2</v>
      </c>
      <c r="I31" s="6">
        <v>2</v>
      </c>
      <c r="J31" s="6">
        <v>0</v>
      </c>
      <c r="K31" s="6">
        <v>2</v>
      </c>
      <c r="L31" s="6">
        <v>2</v>
      </c>
      <c r="M31" s="6">
        <v>1</v>
      </c>
      <c r="N31" s="6">
        <v>0</v>
      </c>
      <c r="O31" s="6">
        <v>1</v>
      </c>
      <c r="P31" s="6">
        <v>1</v>
      </c>
      <c r="Q31" s="6">
        <v>1</v>
      </c>
      <c r="R31" s="6">
        <v>1</v>
      </c>
      <c r="S31" s="6">
        <v>1</v>
      </c>
      <c r="T31" s="6">
        <v>0</v>
      </c>
      <c r="U31" s="6">
        <v>1</v>
      </c>
      <c r="V31" s="6">
        <v>1</v>
      </c>
      <c r="W31" s="6">
        <v>1</v>
      </c>
      <c r="X31" s="6">
        <v>2</v>
      </c>
      <c r="Y31" s="6">
        <v>1</v>
      </c>
      <c r="Z31" s="6">
        <v>3</v>
      </c>
      <c r="AA31" s="6">
        <v>0</v>
      </c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44" t="str">
        <f>Fixture!C35&amp;" vs "&amp;Fixture!F35</f>
        <v>Países Bajos vs Japón</v>
      </c>
      <c r="C36" s="43" t="str">
        <f>IF(ISNUMBER(Fixture!D35),Fixture!D35&amp;"-"&amp;Fixture!E35,"")</f>
        <v>2-2</v>
      </c>
      <c r="D36" s="2">
        <v>2</v>
      </c>
      <c r="E36" s="2">
        <v>2</v>
      </c>
      <c r="F36" s="2">
        <v>2</v>
      </c>
      <c r="G36" s="2">
        <v>2</v>
      </c>
      <c r="H36" s="2">
        <v>1</v>
      </c>
      <c r="I36" s="2">
        <v>1</v>
      </c>
      <c r="J36" s="2">
        <v>3</v>
      </c>
      <c r="K36" s="2">
        <v>2</v>
      </c>
      <c r="L36" s="2">
        <v>1</v>
      </c>
      <c r="M36" s="2">
        <v>1</v>
      </c>
      <c r="N36" s="2">
        <v>2</v>
      </c>
      <c r="O36" s="2">
        <v>1</v>
      </c>
      <c r="P36" s="2">
        <v>1</v>
      </c>
      <c r="Q36" s="2">
        <v>2</v>
      </c>
      <c r="R36" s="2">
        <v>2</v>
      </c>
      <c r="S36" s="2">
        <v>1</v>
      </c>
      <c r="T36" s="2">
        <v>2</v>
      </c>
      <c r="U36" s="2">
        <v>1</v>
      </c>
      <c r="V36" s="2">
        <v>2</v>
      </c>
      <c r="W36" s="2">
        <v>2</v>
      </c>
      <c r="X36" s="2">
        <v>1</v>
      </c>
      <c r="Y36" s="2">
        <v>1</v>
      </c>
      <c r="Z36" s="2">
        <v>0</v>
      </c>
      <c r="AA36" s="2">
        <v>2</v>
      </c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14" t="str">
        <f>Fixture!C36&amp;" vs "&amp;Fixture!F36</f>
        <v>Suecia vs Túnez</v>
      </c>
      <c r="C37" s="43" t="str">
        <f>IF(ISNUMBER(Fixture!D36),Fixture!D36&amp;"-"&amp;Fixture!E36,"")</f>
        <v>5-1</v>
      </c>
      <c r="D37" s="6">
        <v>2</v>
      </c>
      <c r="E37" s="6">
        <v>0</v>
      </c>
      <c r="F37" s="6">
        <v>2</v>
      </c>
      <c r="G37" s="6">
        <v>1</v>
      </c>
      <c r="H37" s="6">
        <v>1</v>
      </c>
      <c r="I37" s="6">
        <v>1</v>
      </c>
      <c r="J37" s="6">
        <v>1</v>
      </c>
      <c r="K37" s="6">
        <v>0</v>
      </c>
      <c r="L37" s="6">
        <v>1</v>
      </c>
      <c r="M37" s="6">
        <v>0</v>
      </c>
      <c r="N37" s="6">
        <v>2</v>
      </c>
      <c r="O37" s="6">
        <v>0</v>
      </c>
      <c r="P37" s="6">
        <v>2</v>
      </c>
      <c r="Q37" s="6">
        <v>1</v>
      </c>
      <c r="R37" s="6">
        <v>1</v>
      </c>
      <c r="S37" s="6">
        <v>0</v>
      </c>
      <c r="T37" s="6">
        <v>1</v>
      </c>
      <c r="U37" s="6">
        <v>0</v>
      </c>
      <c r="V37" s="6">
        <v>2</v>
      </c>
      <c r="W37" s="6">
        <v>0</v>
      </c>
      <c r="X37" s="6">
        <v>2</v>
      </c>
      <c r="Y37" s="6">
        <v>0</v>
      </c>
      <c r="Z37" s="6">
        <v>2</v>
      </c>
      <c r="AA37" s="6">
        <v>0</v>
      </c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11" t="str">
        <f>Fixture!C41&amp;" vs "&amp;Fixture!F41</f>
        <v>Bélgica vs Egipto</v>
      </c>
      <c r="C42" s="43" t="str">
        <f>IF(ISNUMBER(Fixture!D41),Fixture!D41&amp;"-"&amp;Fixture!E41,"")</f>
        <v>1-1</v>
      </c>
      <c r="D42" s="2">
        <v>2</v>
      </c>
      <c r="E42" s="2">
        <v>1</v>
      </c>
      <c r="F42" s="2">
        <v>2</v>
      </c>
      <c r="G42" s="2">
        <v>1</v>
      </c>
      <c r="H42" s="2">
        <v>2</v>
      </c>
      <c r="I42" s="2">
        <v>2</v>
      </c>
      <c r="J42" s="2">
        <v>1</v>
      </c>
      <c r="K42" s="2">
        <v>1</v>
      </c>
      <c r="L42" s="2">
        <v>2</v>
      </c>
      <c r="M42" s="2">
        <v>0</v>
      </c>
      <c r="N42" s="2">
        <v>1</v>
      </c>
      <c r="O42" s="2">
        <v>1</v>
      </c>
      <c r="P42" s="2">
        <v>2</v>
      </c>
      <c r="Q42" s="2">
        <v>2</v>
      </c>
      <c r="R42" s="2">
        <v>2</v>
      </c>
      <c r="S42" s="2">
        <v>2</v>
      </c>
      <c r="T42" s="2">
        <v>2</v>
      </c>
      <c r="U42" s="2">
        <v>1</v>
      </c>
      <c r="V42" s="2">
        <v>2</v>
      </c>
      <c r="W42" s="2">
        <v>1</v>
      </c>
      <c r="X42" s="2">
        <v>2</v>
      </c>
      <c r="Y42" s="2">
        <v>1</v>
      </c>
      <c r="Z42" s="2">
        <v>2</v>
      </c>
      <c r="AA42" s="2">
        <v>0</v>
      </c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14" t="str">
        <f>Fixture!C42&amp;" vs "&amp;Fixture!F42</f>
        <v>Irán vs Nueva Zelanda</v>
      </c>
      <c r="C43" s="43" t="str">
        <f>IF(ISNUMBER(Fixture!D42),Fixture!D42&amp;"-"&amp;Fixture!E42,"")</f>
        <v/>
      </c>
      <c r="D43" s="6">
        <v>1</v>
      </c>
      <c r="E43" s="6">
        <v>1</v>
      </c>
      <c r="F43" s="6">
        <v>3</v>
      </c>
      <c r="G43" s="6">
        <v>0</v>
      </c>
      <c r="H43" s="6">
        <v>2</v>
      </c>
      <c r="I43" s="6">
        <v>0</v>
      </c>
      <c r="J43" s="6">
        <v>2</v>
      </c>
      <c r="K43" s="6">
        <v>1</v>
      </c>
      <c r="L43" s="6">
        <v>0</v>
      </c>
      <c r="M43" s="6">
        <v>2</v>
      </c>
      <c r="N43" s="6">
        <v>3</v>
      </c>
      <c r="O43" s="6">
        <v>1</v>
      </c>
      <c r="P43" s="6">
        <v>0</v>
      </c>
      <c r="Q43" s="6">
        <v>2</v>
      </c>
      <c r="R43" s="6">
        <v>0</v>
      </c>
      <c r="S43" s="6">
        <v>2</v>
      </c>
      <c r="T43" s="6">
        <v>1</v>
      </c>
      <c r="U43" s="6">
        <v>0</v>
      </c>
      <c r="V43" s="6">
        <v>2</v>
      </c>
      <c r="W43" s="6">
        <v>0</v>
      </c>
      <c r="X43" s="6">
        <v>2</v>
      </c>
      <c r="Y43" s="6">
        <v>0</v>
      </c>
      <c r="Z43" s="6">
        <v>1</v>
      </c>
      <c r="AA43" s="6">
        <v>0</v>
      </c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11" t="str">
        <f>Fixture!C47&amp;" vs "&amp;Fixture!F47</f>
        <v>España vs Cabo Verde</v>
      </c>
      <c r="C48" s="43" t="str">
        <f>IF(ISNUMBER(Fixture!D47),Fixture!D47&amp;"-"&amp;Fixture!E47,"")</f>
        <v>0-0</v>
      </c>
      <c r="D48" s="2">
        <v>4</v>
      </c>
      <c r="E48" s="2">
        <v>1</v>
      </c>
      <c r="F48" s="2">
        <v>4</v>
      </c>
      <c r="G48" s="2">
        <v>1</v>
      </c>
      <c r="H48" s="2">
        <v>3</v>
      </c>
      <c r="I48" s="2">
        <v>1</v>
      </c>
      <c r="J48" s="2">
        <v>3</v>
      </c>
      <c r="K48" s="2">
        <v>1</v>
      </c>
      <c r="L48" s="2">
        <v>4</v>
      </c>
      <c r="M48" s="2">
        <v>1</v>
      </c>
      <c r="N48" s="2">
        <v>4</v>
      </c>
      <c r="O48" s="2">
        <v>1</v>
      </c>
      <c r="P48" s="2">
        <v>4</v>
      </c>
      <c r="Q48" s="2">
        <v>0</v>
      </c>
      <c r="R48" s="2">
        <v>5</v>
      </c>
      <c r="S48" s="2">
        <v>1</v>
      </c>
      <c r="T48" s="2">
        <v>3</v>
      </c>
      <c r="U48" s="2">
        <v>0</v>
      </c>
      <c r="V48" s="2">
        <v>3</v>
      </c>
      <c r="W48" s="2">
        <v>0</v>
      </c>
      <c r="X48" s="2">
        <v>3</v>
      </c>
      <c r="Y48" s="2">
        <v>0</v>
      </c>
      <c r="Z48" s="2">
        <v>4</v>
      </c>
      <c r="AA48" s="2">
        <v>0</v>
      </c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14" t="str">
        <f>Fixture!C48&amp;" vs "&amp;Fixture!F48</f>
        <v>Arabia Saudita vs Uruguay</v>
      </c>
      <c r="C49" s="43" t="str">
        <f>IF(ISNUMBER(Fixture!D48),Fixture!D48&amp;"-"&amp;Fixture!E48,"")</f>
        <v/>
      </c>
      <c r="D49" s="6">
        <v>1</v>
      </c>
      <c r="E49" s="6">
        <v>3</v>
      </c>
      <c r="F49" s="6">
        <v>1</v>
      </c>
      <c r="G49" s="6">
        <v>3</v>
      </c>
      <c r="H49" s="6">
        <v>2</v>
      </c>
      <c r="I49" s="6">
        <v>3</v>
      </c>
      <c r="J49" s="6">
        <v>0</v>
      </c>
      <c r="K49" s="6">
        <v>2</v>
      </c>
      <c r="L49" s="6">
        <v>1</v>
      </c>
      <c r="M49" s="6">
        <v>3</v>
      </c>
      <c r="N49" s="6">
        <v>1</v>
      </c>
      <c r="O49" s="6">
        <v>2</v>
      </c>
      <c r="P49" s="6">
        <v>1</v>
      </c>
      <c r="Q49" s="6">
        <v>2</v>
      </c>
      <c r="R49" s="6">
        <v>1</v>
      </c>
      <c r="S49" s="6">
        <v>2</v>
      </c>
      <c r="T49" s="6">
        <v>1</v>
      </c>
      <c r="U49" s="6">
        <v>2</v>
      </c>
      <c r="V49" s="6">
        <v>0</v>
      </c>
      <c r="W49" s="6">
        <v>2</v>
      </c>
      <c r="X49" s="6">
        <v>0</v>
      </c>
      <c r="Y49" s="6">
        <v>2</v>
      </c>
      <c r="Z49" s="6">
        <v>1</v>
      </c>
      <c r="AA49" s="6">
        <v>2</v>
      </c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AF4:AG4"/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4:AC4"/>
    <mergeCell ref="AD4:AE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2026-06-15T20:58:54Z</dcterms:modified>
  <dc:language>en-US</dc:language>
</cp:coreProperties>
</file>