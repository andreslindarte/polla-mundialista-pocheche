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F9683E97-E8CF-4D22-AB3B-2F3ADC29CB21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<sst xmlns="http://schemas.openxmlformats.org/spreadsheetml/2006/main" count="355" uniqueCount="113">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</sst>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6" t="s">
        <v>0</v>
      </c>
      <c r="B1" s="46"/>
      <c r="C1" s="46"/>
      <c r="D1" s="46"/>
    </row>
    <row r="2" spans="1:4" ht="19.5" customHeight="1" x14ac:dyDescent="0.25">
      <c r="A2" s="45" t="s">
        <v>1</v>
      </c>
      <c r="B2" s="45"/>
      <c r="C2" s="45"/>
      <c r="D2" s="45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6"/>
  <sheetViews>
    <sheetView showGridLines="0" zoomScaleNormal="100" workbookViewId="0">
      <selection activeCell="A23" sqref="A23:XFD23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4" t="s">
        <v>9</v>
      </c>
      <c r="B1" s="44"/>
      <c r="C1" s="44"/>
      <c r="D1" s="44"/>
      <c r="E1" s="44"/>
      <c r="F1" s="44"/>
      <c r="G1" s="44"/>
    </row>
    <row r="2" spans="1:7" ht="18" customHeight="1" x14ac:dyDescent="0.25">
      <c r="A2" s="45" t="s">
        <v>10</v>
      </c>
      <c r="B2" s="45"/>
      <c r="C2" s="45"/>
      <c r="D2" s="45"/>
      <c r="E2" s="45"/>
      <c r="F2" s="45"/>
      <c r="G2" s="45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>
        <v>2</v>
      </c>
      <c r="E5" s="13">
        <v>0</v>
      </c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/>
      <c r="E6" s="13"/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/>
      <c r="E11" s="13"/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/>
      <c r="E12" s="13"/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14" ht="19.5" customHeight="1" x14ac:dyDescent="0.25">
      <c r="A17" s="11">
        <v>13</v>
      </c>
      <c r="B17" s="18" t="s">
        <v>32</v>
      </c>
      <c r="C17" s="11" t="s">
        <v>33</v>
      </c>
      <c r="D17" s="13"/>
      <c r="E17" s="13"/>
      <c r="F17" s="11" t="s">
        <v>34</v>
      </c>
      <c r="G17" s="11" t="s">
        <v>31</v>
      </c>
      <c r="N17" t="s">
        <v>112</v>
      </c>
    </row>
    <row r="18" spans="1:14" ht="19.5" customHeight="1" x14ac:dyDescent="0.25">
      <c r="A18" s="14">
        <v>14</v>
      </c>
      <c r="B18" s="19" t="s">
        <v>32</v>
      </c>
      <c r="C18" s="14" t="s">
        <v>35</v>
      </c>
      <c r="D18" s="13"/>
      <c r="E18" s="13"/>
      <c r="F18" s="14" t="s">
        <v>36</v>
      </c>
      <c r="G18" s="14" t="s">
        <v>31</v>
      </c>
    </row>
    <row r="19" spans="1:14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14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14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14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14" ht="19.5" customHeight="1" x14ac:dyDescent="0.25">
      <c r="A23" s="11">
        <v>19</v>
      </c>
      <c r="B23" s="20" t="s">
        <v>38</v>
      </c>
      <c r="C23" s="11" t="s">
        <v>39</v>
      </c>
      <c r="D23" s="13"/>
      <c r="E23" s="13"/>
      <c r="F23" s="11" t="s">
        <v>40</v>
      </c>
      <c r="G23" s="11" t="s">
        <v>28</v>
      </c>
    </row>
    <row r="24" spans="1:14" ht="19.5" customHeight="1" x14ac:dyDescent="0.25">
      <c r="A24" s="14">
        <v>20</v>
      </c>
      <c r="B24" s="21" t="s">
        <v>38</v>
      </c>
      <c r="C24" s="14" t="s">
        <v>41</v>
      </c>
      <c r="D24" s="13"/>
      <c r="E24" s="13"/>
      <c r="F24" s="14" t="s">
        <v>42</v>
      </c>
      <c r="G24" s="14" t="s">
        <v>31</v>
      </c>
    </row>
    <row r="25" spans="1:14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14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14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14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14" ht="19.5" customHeight="1" x14ac:dyDescent="0.25">
      <c r="A29" s="11">
        <v>25</v>
      </c>
      <c r="B29" s="22" t="s">
        <v>44</v>
      </c>
      <c r="C29" s="11" t="s">
        <v>45</v>
      </c>
      <c r="D29" s="13"/>
      <c r="E29" s="13"/>
      <c r="F29" s="11" t="s">
        <v>46</v>
      </c>
      <c r="G29" s="11" t="s">
        <v>47</v>
      </c>
    </row>
    <row r="30" spans="1:14" ht="19.5" customHeight="1" x14ac:dyDescent="0.25">
      <c r="A30" s="14">
        <v>26</v>
      </c>
      <c r="B30" s="23" t="s">
        <v>44</v>
      </c>
      <c r="C30" s="14" t="s">
        <v>48</v>
      </c>
      <c r="D30" s="13"/>
      <c r="E30" s="13"/>
      <c r="F30" s="14" t="s">
        <v>49</v>
      </c>
      <c r="G30" s="14" t="s">
        <v>47</v>
      </c>
    </row>
    <row r="31" spans="1:14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14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/>
      <c r="E35" s="13"/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/>
      <c r="E36" s="13"/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/>
      <c r="E41" s="13"/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/>
      <c r="E42" s="13"/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/>
      <c r="E47" s="13"/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/>
      <c r="E48" s="13"/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abSelected="1" zoomScaleNormal="100" workbookViewId="0">
      <selection activeCell="Y24" sqref="Y24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4" t="s">
        <v>94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</row>
    <row r="2" spans="1:33" ht="18" customHeight="1" x14ac:dyDescent="0.25">
      <c r="A2" s="45" t="s">
        <v>95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7" t="str">
        <f>Participantes!B5</f>
        <v>Andres Jesús</v>
      </c>
      <c r="E4" s="47"/>
      <c r="F4" s="47" t="str">
        <f>Participantes!B6</f>
        <v>Leonardo Fabio</v>
      </c>
      <c r="G4" s="47"/>
      <c r="H4" s="47" t="str">
        <f>Participantes!B7</f>
        <v>Martha Cenidia</v>
      </c>
      <c r="I4" s="47"/>
      <c r="J4" s="47" t="str">
        <f>Participantes!B8</f>
        <v>Freddy Ramón</v>
      </c>
      <c r="K4" s="47"/>
      <c r="L4" s="47" t="str">
        <f>Participantes!B9</f>
        <v xml:space="preserve">Juan Camilo </v>
      </c>
      <c r="M4" s="47"/>
      <c r="N4" s="47" t="str">
        <f>Participantes!B10</f>
        <v xml:space="preserve">Juan David </v>
      </c>
      <c r="O4" s="47"/>
      <c r="P4" s="47" t="str">
        <f>Participantes!B11</f>
        <v>María Trinidad</v>
      </c>
      <c r="Q4" s="47"/>
      <c r="R4" s="47" t="str">
        <f>Participantes!B12</f>
        <v xml:space="preserve">María Gabriela </v>
      </c>
      <c r="S4" s="47"/>
      <c r="T4" s="47" t="str">
        <f>Participantes!B13</f>
        <v>Laura Valentina</v>
      </c>
      <c r="U4" s="47"/>
      <c r="V4" s="47" t="str">
        <f>Participantes!B14</f>
        <v>Gloria Isabel</v>
      </c>
      <c r="W4" s="47"/>
      <c r="X4" s="47" t="str">
        <f>Participantes!B15</f>
        <v xml:space="preserve">María del Pilar </v>
      </c>
      <c r="Y4" s="47"/>
      <c r="Z4" s="47" t="str">
        <f>Participantes!B16</f>
        <v>Jaime Andres</v>
      </c>
      <c r="AA4" s="47"/>
      <c r="AB4" s="47" t="str">
        <f>Participantes!B17</f>
        <v>Participante 13</v>
      </c>
      <c r="AC4" s="47"/>
      <c r="AD4" s="47" t="str">
        <f>Participantes!B18</f>
        <v>Participante 14</v>
      </c>
      <c r="AE4" s="47"/>
      <c r="AF4" s="47" t="str">
        <f>Participantes!B19</f>
        <v>Participante 15</v>
      </c>
      <c r="AG4" s="47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11" t="str">
        <f>Fixture!C5&amp;" vs "&amp;Fixture!F5</f>
        <v>México vs Sudáfrica</v>
      </c>
      <c r="C6" s="43" t="str">
        <f>IF(ISNUMBER(Fixture!D5),Fixture!D5&amp;"-"&amp;Fixture!E5,"")</f>
        <v>2-0</v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2</v>
      </c>
      <c r="S6" s="2">
        <v>1</v>
      </c>
      <c r="T6" s="2">
        <v>2</v>
      </c>
      <c r="U6" s="2">
        <v>1</v>
      </c>
      <c r="V6" s="2">
        <v>3</v>
      </c>
      <c r="W6" s="2">
        <v>0</v>
      </c>
      <c r="X6" s="2">
        <v>2</v>
      </c>
      <c r="Y6" s="2">
        <v>0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14" t="str">
        <f>Fixture!C6&amp;" vs "&amp;Fixture!F6</f>
        <v>Corea del Sur vs Chequia</v>
      </c>
      <c r="C7" s="43" t="str">
        <f>IF(ISNUMBER(Fixture!D6),Fixture!D6&amp;"-"&amp;Fixture!E6,"")</f>
        <v/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2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11" t="str">
        <f>Fixture!C11&amp;" vs "&amp;Fixture!F11</f>
        <v>Canadá vs Bosnia-Herzegovina</v>
      </c>
      <c r="C12" s="43" t="str">
        <f>IF(ISNUMBER(Fixture!D11),Fixture!D11&amp;"-"&amp;Fixture!E11,"")</f>
        <v/>
      </c>
      <c r="D12" s="2">
        <v>0</v>
      </c>
      <c r="E12" s="2">
        <v>2</v>
      </c>
      <c r="F12" s="2">
        <v>2</v>
      </c>
      <c r="G12" s="2">
        <v>0</v>
      </c>
      <c r="H12" s="2">
        <v>2</v>
      </c>
      <c r="I12" s="2">
        <v>2</v>
      </c>
      <c r="J12" s="2">
        <v>1</v>
      </c>
      <c r="K12" s="2">
        <v>1</v>
      </c>
      <c r="L12" s="2"/>
      <c r="M12" s="2"/>
      <c r="N12" s="2">
        <v>1</v>
      </c>
      <c r="O12" s="2">
        <v>1</v>
      </c>
      <c r="P12" s="2"/>
      <c r="Q12" s="2"/>
      <c r="R12" s="2">
        <v>1</v>
      </c>
      <c r="S12" s="2">
        <v>0</v>
      </c>
      <c r="T12" s="2">
        <v>1</v>
      </c>
      <c r="U12" s="2">
        <v>0</v>
      </c>
      <c r="V12" s="2">
        <v>1</v>
      </c>
      <c r="W12" s="2">
        <v>1</v>
      </c>
      <c r="X12" s="2">
        <v>1</v>
      </c>
      <c r="Y12" s="2">
        <v>1</v>
      </c>
      <c r="Z12" s="2">
        <v>2</v>
      </c>
      <c r="AA12" s="2">
        <v>0</v>
      </c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14" t="str">
        <f>Fixture!C12&amp;" vs "&amp;Fixture!F12</f>
        <v>Qatar vs Suiza</v>
      </c>
      <c r="C13" s="43" t="str">
        <f>IF(ISNUMBER(Fixture!D12),Fixture!D12&amp;"-"&amp;Fixture!E12,"")</f>
        <v/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11" t="str">
        <f>Fixture!C17&amp;" vs "&amp;Fixture!F17</f>
        <v>Brasil vs Marruecos</v>
      </c>
      <c r="C18" s="43" t="str">
        <f>IF(ISNUMBER(Fixture!D17),Fixture!D17&amp;"-"&amp;Fixture!E17,"")</f>
        <v/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14" t="str">
        <f>Fixture!C18&amp;" vs "&amp;Fixture!F18</f>
        <v>Haití vs Escocia</v>
      </c>
      <c r="C19" s="43" t="str">
        <f>IF(ISNUMBER(Fixture!D18),Fixture!D18&amp;"-"&amp;Fixture!E18,"")</f>
        <v/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11" t="str">
        <f>Fixture!C23&amp;" vs "&amp;Fixture!F23</f>
        <v>Estados Unidos vs Paraguay</v>
      </c>
      <c r="C24" s="43" t="str">
        <f>IF(ISNUMBER(Fixture!D23),Fixture!D23&amp;"-"&amp;Fixture!E23,"")</f>
        <v/>
      </c>
      <c r="D24" s="2">
        <v>2</v>
      </c>
      <c r="E24" s="2">
        <v>0</v>
      </c>
      <c r="F24" s="2">
        <v>0</v>
      </c>
      <c r="G24" s="2">
        <v>1</v>
      </c>
      <c r="H24" s="2">
        <v>1</v>
      </c>
      <c r="I24" s="2">
        <v>0</v>
      </c>
      <c r="J24" s="2">
        <v>3</v>
      </c>
      <c r="K24" s="2">
        <v>1</v>
      </c>
      <c r="L24" s="2"/>
      <c r="M24" s="2"/>
      <c r="N24" s="2">
        <v>1</v>
      </c>
      <c r="O24" s="2">
        <v>2</v>
      </c>
      <c r="P24" s="2"/>
      <c r="Q24" s="2"/>
      <c r="R24" s="2">
        <v>2</v>
      </c>
      <c r="S24" s="2">
        <v>1</v>
      </c>
      <c r="T24" s="2">
        <v>2</v>
      </c>
      <c r="U24" s="2">
        <v>1</v>
      </c>
      <c r="V24" s="2">
        <v>1</v>
      </c>
      <c r="W24" s="2">
        <v>1</v>
      </c>
      <c r="X24" s="2">
        <v>2</v>
      </c>
      <c r="Y24" s="2">
        <v>1</v>
      </c>
      <c r="Z24" s="2">
        <v>2</v>
      </c>
      <c r="AA24" s="2">
        <v>1</v>
      </c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14" t="str">
        <f>Fixture!C24&amp;" vs "&amp;Fixture!F24</f>
        <v>Australia vs Turquía</v>
      </c>
      <c r="C25" s="43" t="str">
        <f>IF(ISNUMBER(Fixture!D24),Fixture!D24&amp;"-"&amp;Fixture!E24,"")</f>
        <v/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11" t="str">
        <f>Fixture!C29&amp;" vs "&amp;Fixture!F29</f>
        <v>Alemania vs Curazao</v>
      </c>
      <c r="C30" s="43" t="str">
        <f>IF(ISNUMBER(Fixture!D29),Fixture!D29&amp;"-"&amp;Fixture!E29,"")</f>
        <v/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14" t="str">
        <f>Fixture!C30&amp;" vs "&amp;Fixture!F30</f>
        <v>Costa de Marfil vs Ecuador</v>
      </c>
      <c r="C31" s="43" t="str">
        <f>IF(ISNUMBER(Fixture!D30),Fixture!D30&amp;"-"&amp;Fixture!E30,"")</f>
        <v/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11" t="str">
        <f>Fixture!C35&amp;" vs "&amp;Fixture!F35</f>
        <v>Países Bajos vs Japón</v>
      </c>
      <c r="C36" s="43" t="str">
        <f>IF(ISNUMBER(Fixture!D35),Fixture!D35&amp;"-"&amp;Fixture!E35,"")</f>
        <v/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/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11" t="str">
        <f>Fixture!C41&amp;" vs "&amp;Fixture!F41</f>
        <v>Bélgica vs Egipto</v>
      </c>
      <c r="C42" s="43" t="str">
        <f>IF(ISNUMBER(Fixture!D41),Fixture!D41&amp;"-"&amp;Fixture!E41,"")</f>
        <v/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11" t="str">
        <f>Fixture!C47&amp;" vs "&amp;Fixture!F47</f>
        <v>España vs Cabo Verde</v>
      </c>
      <c r="C48" s="43" t="str">
        <f>IF(ISNUMBER(Fixture!D47),Fixture!D47&amp;"-"&amp;Fixture!E47,"")</f>
        <v/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14" t="str">
        <f>Fixture!C48&amp;" vs "&amp;Fixture!F48</f>
        <v>Arabia Saudita vs Uruguay</v>
      </c>
      <c r="C49" s="43" t="str">
        <f>IF(ISNUMBER(Fixture!D48),Fixture!D48&amp;"-"&amp;Fixture!E48,"")</f>
        <v/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X4:Y4"/>
    <mergeCell ref="Z4:AA4"/>
    <mergeCell ref="AB4:AC4"/>
    <mergeCell ref="AD4:AE4"/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2026-06-12T03:13:42Z</dcterms:modified>
  <dc:language>en-US</dc:language>
</cp:coreProperties>
</file>