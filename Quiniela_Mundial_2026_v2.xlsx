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icipantes" sheetId="1" state="visible" r:id="rId3"/>
    <sheet name="Fixture" sheetId="2" state="visible" r:id="rId4"/>
    <sheet name="Prediccion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<sst xmlns="http://schemas.openxmlformats.org/spreadsheetml/2006/main" count="369" uniqueCount="112">
  <si>
    <t xml:space="preserve">🏆  QUINIELA MUNDIAL 2026</t>
  </si>
  <si>
    <t xml:space="preserve">Acierto único = 3 pts  |  Acierto compartido (2 o más) = 1 pt cada uno  |  Sin acierto = 0 pts</t>
  </si>
  <si>
    <t xml:space="preserve">#</t>
  </si>
  <si>
    <t xml:space="preserve">Participante</t>
  </si>
  <si>
    <t xml:space="preserve">Puntos</t>
  </si>
  <si>
    <t xml:space="preserve">Posición</t>
  </si>
  <si>
    <t xml:space="preserve">Participante 1</t>
  </si>
  <si>
    <t xml:space="preserve">Participante 2</t>
  </si>
  <si>
    <t xml:space="preserve">Participante 3</t>
  </si>
  <si>
    <t xml:space="preserve">Participante 4</t>
  </si>
  <si>
    <t xml:space="preserve">Participante 5</t>
  </si>
  <si>
    <t xml:space="preserve">Participante 6</t>
  </si>
  <si>
    <t xml:space="preserve">Participante 7</t>
  </si>
  <si>
    <t xml:space="preserve">Participante 8</t>
  </si>
  <si>
    <t xml:space="preserve">Participante 9</t>
  </si>
  <si>
    <t xml:space="preserve">Participante 10</t>
  </si>
  <si>
    <t xml:space="preserve">Participante 11</t>
  </si>
  <si>
    <t xml:space="preserve">Participante 12</t>
  </si>
  <si>
    <t xml:space="preserve">Participante 13</t>
  </si>
  <si>
    <t xml:space="preserve">Participante 14</t>
  </si>
  <si>
    <t xml:space="preserve">Participante 15</t>
  </si>
  <si>
    <t xml:space="preserve">⚽  FIXTURE FASE DE GRUPOS — FIFA WORLD CUP 2026</t>
  </si>
  <si>
    <t xml:space="preserve">Ingresa el resultado oficial en las columnas verdes después de cada partido</t>
  </si>
  <si>
    <t xml:space="preserve">Grupo</t>
  </si>
  <si>
    <t xml:space="preserve">Local</t>
  </si>
  <si>
    <t xml:space="preserve">Goles
Local</t>
  </si>
  <si>
    <t xml:space="preserve">Goles
Visitante</t>
  </si>
  <si>
    <t xml:space="preserve">Visitante</t>
  </si>
  <si>
    <t xml:space="preserve">Fecha</t>
  </si>
  <si>
    <t xml:space="preserve">A</t>
  </si>
  <si>
    <t xml:space="preserve">México</t>
  </si>
  <si>
    <t xml:space="preserve">Sudáfrica</t>
  </si>
  <si>
    <t xml:space="preserve">11 jun</t>
  </si>
  <si>
    <t xml:space="preserve">Corea del Sur</t>
  </si>
  <si>
    <t xml:space="preserve">Chequia</t>
  </si>
  <si>
    <t xml:space="preserve">18 jun</t>
  </si>
  <si>
    <t xml:space="preserve">24 jun</t>
  </si>
  <si>
    <t xml:space="preserve">B</t>
  </si>
  <si>
    <t xml:space="preserve">Canadá</t>
  </si>
  <si>
    <t xml:space="preserve">Bosnia-Herzegovina</t>
  </si>
  <si>
    <t xml:space="preserve">12 jun</t>
  </si>
  <si>
    <t xml:space="preserve">Qatar</t>
  </si>
  <si>
    <t xml:space="preserve">Suiza</t>
  </si>
  <si>
    <t xml:space="preserve">13 jun</t>
  </si>
  <si>
    <t xml:space="preserve">C</t>
  </si>
  <si>
    <t xml:space="preserve">Brasil</t>
  </si>
  <si>
    <t xml:space="preserve">Marruecos</t>
  </si>
  <si>
    <t xml:space="preserve">Haití</t>
  </si>
  <si>
    <t xml:space="preserve">Escocia</t>
  </si>
  <si>
    <t xml:space="preserve">19 jun</t>
  </si>
  <si>
    <t xml:space="preserve">D</t>
  </si>
  <si>
    <t xml:space="preserve">Estados Unidos</t>
  </si>
  <si>
    <t xml:space="preserve">Paraguay</t>
  </si>
  <si>
    <t xml:space="preserve">Australia</t>
  </si>
  <si>
    <t xml:space="preserve">Turquía</t>
  </si>
  <si>
    <t xml:space="preserve">25 jun</t>
  </si>
  <si>
    <t xml:space="preserve">E</t>
  </si>
  <si>
    <t xml:space="preserve">Alemania</t>
  </si>
  <si>
    <t xml:space="preserve">Curazao</t>
  </si>
  <si>
    <t xml:space="preserve">14 jun</t>
  </si>
  <si>
    <t xml:space="preserve">Costa de Marfil</t>
  </si>
  <si>
    <t xml:space="preserve">Ecuador</t>
  </si>
  <si>
    <t xml:space="preserve">20 jun</t>
  </si>
  <si>
    <t xml:space="preserve">F</t>
  </si>
  <si>
    <t xml:space="preserve">Países Bajos</t>
  </si>
  <si>
    <t xml:space="preserve">Japón</t>
  </si>
  <si>
    <t xml:space="preserve">Suecia</t>
  </si>
  <si>
    <t xml:space="preserve">Túnez</t>
  </si>
  <si>
    <t xml:space="preserve">G</t>
  </si>
  <si>
    <t xml:space="preserve">Bélgica</t>
  </si>
  <si>
    <t xml:space="preserve">Egipto</t>
  </si>
  <si>
    <t xml:space="preserve">15 jun</t>
  </si>
  <si>
    <t xml:space="preserve">Irán</t>
  </si>
  <si>
    <t xml:space="preserve">Nueva Zelanda</t>
  </si>
  <si>
    <t xml:space="preserve">21 jun</t>
  </si>
  <si>
    <t xml:space="preserve">26 jun</t>
  </si>
  <si>
    <t xml:space="preserve">H</t>
  </si>
  <si>
    <t xml:space="preserve">España</t>
  </si>
  <si>
    <t xml:space="preserve">Cabo Verde</t>
  </si>
  <si>
    <t xml:space="preserve">Arabia Saudita</t>
  </si>
  <si>
    <t xml:space="preserve">Uruguay</t>
  </si>
  <si>
    <t xml:space="preserve">I</t>
  </si>
  <si>
    <t xml:space="preserve">Francia</t>
  </si>
  <si>
    <t xml:space="preserve">Senegal</t>
  </si>
  <si>
    <t xml:space="preserve">16 jun</t>
  </si>
  <si>
    <t xml:space="preserve">Irak</t>
  </si>
  <si>
    <t xml:space="preserve">Noruega</t>
  </si>
  <si>
    <t xml:space="preserve">22 jun</t>
  </si>
  <si>
    <t xml:space="preserve">J</t>
  </si>
  <si>
    <t xml:space="preserve">Argentina</t>
  </si>
  <si>
    <t xml:space="preserve">Argelia</t>
  </si>
  <si>
    <t xml:space="preserve">Austria</t>
  </si>
  <si>
    <t xml:space="preserve">Jordania</t>
  </si>
  <si>
    <t xml:space="preserve">27 jun</t>
  </si>
  <si>
    <t xml:space="preserve">K</t>
  </si>
  <si>
    <t xml:space="preserve">Portugal</t>
  </si>
  <si>
    <t xml:space="preserve">Rep. D. Congo</t>
  </si>
  <si>
    <t xml:space="preserve">17 jun</t>
  </si>
  <si>
    <t xml:space="preserve">Uzbekistán</t>
  </si>
  <si>
    <t xml:space="preserve">Colombia</t>
  </si>
  <si>
    <t xml:space="preserve">23 jun</t>
  </si>
  <si>
    <t xml:space="preserve">L</t>
  </si>
  <si>
    <t xml:space="preserve">Inglaterra</t>
  </si>
  <si>
    <t xml:space="preserve">Croacia</t>
  </si>
  <si>
    <t xml:space="preserve">Ghana</t>
  </si>
  <si>
    <t xml:space="preserve">Panamá</t>
  </si>
  <si>
    <t xml:space="preserve">🎯  PREDICCIONES — FASE DE GRUPOS MUNDIAL 2026</t>
  </si>
  <si>
    <t xml:space="preserve">Ingresa el marcador que predices (L = Goles Local  |  V = Goles Visitante)</t>
  </si>
  <si>
    <t xml:space="preserve">Partido</t>
  </si>
  <si>
    <t xml:space="preserve">Resultado
Real</t>
  </si>
  <si>
    <t xml:space="preserve">L – V</t>
  </si>
  <si>
    <t xml:space="preserve">V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</si>
</sst>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1A3A5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A3A5C"/>
      <name val="Arial"/>
      <family val="0"/>
      <charset val="1"/>
    </font>
    <font>
      <b val="true"/>
      <sz val="11"/>
      <color rgb="FFE8682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1A3A5C"/>
      <name val="Arial"/>
      <family val="0"/>
      <charset val="1"/>
    </font>
    <font>
      <b val="true"/>
      <sz val="12"/>
      <color rgb="FF217346"/>
      <name val="Arial"/>
      <family val="0"/>
      <charset val="1"/>
    </font>
    <font>
      <b val="true"/>
      <sz val="10"/>
      <color rgb="FF2E6DA4"/>
      <name val="Arial"/>
      <family val="0"/>
      <charset val="1"/>
    </font>
    <font>
      <b val="true"/>
      <sz val="10"/>
      <color rgb="FF217346"/>
      <name val="Arial"/>
      <family val="0"/>
      <charset val="1"/>
    </font>
    <font>
      <b val="true"/>
      <sz val="10"/>
      <color rgb="FF7B3F00"/>
      <name val="Arial"/>
      <family val="0"/>
      <charset val="1"/>
    </font>
    <font>
      <b val="true"/>
      <sz val="10"/>
      <color rgb="FF6B2D8B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E86829"/>
      <name val="Arial"/>
      <family val="0"/>
      <charset val="1"/>
    </font>
    <font>
      <b val="true"/>
      <sz val="10"/>
      <color rgb="FF1A6B5C"/>
      <name val="Arial"/>
      <family val="0"/>
      <charset val="1"/>
    </font>
    <font>
      <b val="true"/>
      <sz val="10"/>
      <color rgb="FF4A4A00"/>
      <name val="Arial"/>
      <family val="0"/>
      <charset val="1"/>
    </font>
    <font>
      <b val="true"/>
      <sz val="10"/>
      <color rgb="FF003366"/>
      <name val="Arial"/>
      <family val="0"/>
      <charset val="1"/>
    </font>
    <font>
      <b val="true"/>
      <sz val="10"/>
      <color rgb="FF5C1A3A"/>
      <name val="Arial"/>
      <family val="0"/>
      <charset val="1"/>
    </font>
    <font>
      <b val="true"/>
      <sz val="10"/>
      <color rgb="FF1A5C3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4"/>
  </cols>
  <sheetData>
    <row r="1" customFormat="false" ht="36" hidden="false" customHeight="true" outlineLevel="0" collapsed="false">
      <c r="A1" s="1" t="s">
        <v>0</v>
      </c>
      <c r="B1" s="1"/>
      <c r="C1" s="1"/>
      <c r="D1" s="1"/>
    </row>
    <row r="2" customFormat="false" ht="19.5" hidden="false" customHeight="true" outlineLevel="0" collapsed="false">
      <c r="A2" s="2" t="s">
        <v>1</v>
      </c>
      <c r="B2" s="2"/>
      <c r="C2" s="2"/>
      <c r="D2" s="2"/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1.75" hidden="false" customHeight="true" outlineLevel="0" collapsed="false">
      <c r="A5" s="4" t="n">
        <v>1</v>
      </c>
      <c r="B5" s="5" t="s">
        <v>6</v>
      </c>
      <c r="C5" s="6" t="n">
        <f aca="false">IF(((Predicciones!D6=Fixture!D5)*(Predicciones!E6=Fixture!E5)*ISNUMBER(Fixture!D5)*(Predicciones!D6&lt;&gt;"")*(Predicciones!E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D7=Fixture!D6)*(Predicciones!E7=Fixture!E6)*ISNUMBER(Fixture!D6)*(Predicciones!D7&lt;&gt;"")*(Predicciones!E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D8=Fixture!D7)*(Predicciones!E8=Fixture!E7)*ISNUMBER(Fixture!D7)*(Predicciones!D8&lt;&gt;"")*(Predicciones!E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D9=Fixture!D8)*(Predicciones!E9=Fixture!E8)*ISNUMBER(Fixture!D8)*(Predicciones!D9&lt;&gt;"")*(Predicciones!E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D10=Fixture!D9)*(Predicciones!E10=Fixture!E9)*ISNUMBER(Fixture!D9)*(Predicciones!D10&lt;&gt;"")*(Predicciones!E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D11=Fixture!D10)*(Predicciones!E11=Fixture!E10)*ISNUMBER(Fixture!D10)*(Predicciones!D11&lt;&gt;"")*(Predicciones!E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D12=Fixture!D11)*(Predicciones!E12=Fixture!E11)*ISNUMBER(Fixture!D11)*(Predicciones!D12&lt;&gt;"")*(Predicciones!E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D13=Fixture!D12)*(Predicciones!E13=Fixture!E12)*ISNUMBER(Fixture!D12)*(Predicciones!D13&lt;&gt;"")*(Predicciones!E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D14=Fixture!D13)*(Predicciones!E14=Fixture!E13)*ISNUMBER(Fixture!D13)*(Predicciones!D14&lt;&gt;"")*(Predicciones!E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D15=Fixture!D14)*(Predicciones!E15=Fixture!E14)*ISNUMBER(Fixture!D14)*(Predicciones!D15&lt;&gt;"")*(Predicciones!E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D16=Fixture!D15)*(Predicciones!E16=Fixture!E15)*ISNUMBER(Fixture!D15)*(Predicciones!D16&lt;&gt;"")*(Predicciones!E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D17=Fixture!D16)*(Predicciones!E17=Fixture!E16)*ISNUMBER(Fixture!D16)*(Predicciones!D17&lt;&gt;"")*(Predicciones!E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D18=Fixture!D17)*(Predicciones!E18=Fixture!E17)*ISNUMBER(Fixture!D17)*(Predicciones!D18&lt;&gt;"")*(Predicciones!E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D19=Fixture!D18)*(Predicciones!E19=Fixture!E18)*ISNUMBER(Fixture!D18)*(Predicciones!D19&lt;&gt;"")*(Predicciones!E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D20=Fixture!D19)*(Predicciones!E20=Fixture!E19)*ISNUMBER(Fixture!D19)*(Predicciones!D20&lt;&gt;"")*(Predicciones!E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D21=Fixture!D20)*(Predicciones!E21=Fixture!E20)*ISNUMBER(Fixture!D20)*(Predicciones!D21&lt;&gt;"")*(Predicciones!E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5" s="7" t="n">
        <f aca="false">RANK(C5,C5:C19,0)</f>
        <v>1</v>
      </c>
    </row>
    <row r="6" customFormat="false" ht="21.75" hidden="false" customHeight="true" outlineLevel="0" collapsed="false">
      <c r="A6" s="8" t="n">
        <v>2</v>
      </c>
      <c r="B6" s="9" t="s">
        <v>7</v>
      </c>
      <c r="C6" s="10" t="n">
        <f aca="false">IF(((Predicciones!F6=Fixture!D5)*(Predicciones!G6=Fixture!E5)*ISNUMBER(Fixture!D5)*(Predicciones!F6&lt;&gt;"")*(Predicciones!G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F7=Fixture!D6)*(Predicciones!G7=Fixture!E6)*ISNUMBER(Fixture!D6)*(Predicciones!F7&lt;&gt;"")*(Predicciones!G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F8=Fixture!D7)*(Predicciones!G8=Fixture!E7)*ISNUMBER(Fixture!D7)*(Predicciones!F8&lt;&gt;"")*(Predicciones!G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F9=Fixture!D8)*(Predicciones!G9=Fixture!E8)*ISNUMBER(Fixture!D8)*(Predicciones!F9&lt;&gt;"")*(Predicciones!G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F10=Fixture!D9)*(Predicciones!G10=Fixture!E9)*ISNUMBER(Fixture!D9)*(Predicciones!F10&lt;&gt;"")*(Predicciones!G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F11=Fixture!D10)*(Predicciones!G11=Fixture!E10)*ISNUMBER(Fixture!D10)*(Predicciones!F11&lt;&gt;"")*(Predicciones!G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F12=Fixture!D11)*(Predicciones!G12=Fixture!E11)*ISNUMBER(Fixture!D11)*(Predicciones!F12&lt;&gt;"")*(Predicciones!G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F13=Fixture!D12)*(Predicciones!G13=Fixture!E12)*ISNUMBER(Fixture!D12)*(Predicciones!F13&lt;&gt;"")*(Predicciones!G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F14=Fixture!D13)*(Predicciones!G14=Fixture!E13)*ISNUMBER(Fixture!D13)*(Predicciones!F14&lt;&gt;"")*(Predicciones!G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F15=Fixture!D14)*(Predicciones!G15=Fixture!E14)*ISNUMBER(Fixture!D14)*(Predicciones!F15&lt;&gt;"")*(Predicciones!G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F16=Fixture!D15)*(Predicciones!G16=Fixture!E15)*ISNUMBER(Fixture!D15)*(Predicciones!F16&lt;&gt;"")*(Predicciones!G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F17=Fixture!D16)*(Predicciones!G17=Fixture!E16)*ISNUMBER(Fixture!D16)*(Predicciones!F17&lt;&gt;"")*(Predicciones!G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F18=Fixture!D17)*(Predicciones!G18=Fixture!E17)*ISNUMBER(Fixture!D17)*(Predicciones!F18&lt;&gt;"")*(Predicciones!G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F19=Fixture!D18)*(Predicciones!G19=Fixture!E18)*ISNUMBER(Fixture!D18)*(Predicciones!F19&lt;&gt;"")*(Predicciones!G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F20=Fixture!D19)*(Predicciones!G20=Fixture!E19)*ISNUMBER(Fixture!D19)*(Predicciones!F20&lt;&gt;"")*(Predicciones!G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F21=Fixture!D20)*(Predicciones!G21=Fixture!E20)*ISNUMBER(Fixture!D20)*(Predicciones!F21&lt;&gt;"")*(Predicciones!G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6" s="11" t="n">
        <f aca="false">RANK(C6,C5:C19,0)</f>
        <v>1</v>
      </c>
    </row>
    <row r="7" customFormat="false" ht="21.75" hidden="false" customHeight="true" outlineLevel="0" collapsed="false">
      <c r="A7" s="4" t="n">
        <v>3</v>
      </c>
      <c r="B7" s="5" t="s">
        <v>8</v>
      </c>
      <c r="C7" s="6" t="n">
        <f aca="false">IF(((Predicciones!H6=Fixture!D5)*(Predicciones!I6=Fixture!E5)*ISNUMBER(Fixture!D5)*(Predicciones!H6&lt;&gt;"")*(Predicciones!I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H7=Fixture!D6)*(Predicciones!I7=Fixture!E6)*ISNUMBER(Fixture!D6)*(Predicciones!H7&lt;&gt;"")*(Predicciones!I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H8=Fixture!D7)*(Predicciones!I8=Fixture!E7)*ISNUMBER(Fixture!D7)*(Predicciones!H8&lt;&gt;"")*(Predicciones!I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H9=Fixture!D8)*(Predicciones!I9=Fixture!E8)*ISNUMBER(Fixture!D8)*(Predicciones!H9&lt;&gt;"")*(Predicciones!I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H10=Fixture!D9)*(Predicciones!I10=Fixture!E9)*ISNUMBER(Fixture!D9)*(Predicciones!H10&lt;&gt;"")*(Predicciones!I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H11=Fixture!D10)*(Predicciones!I11=Fixture!E10)*ISNUMBER(Fixture!D10)*(Predicciones!H11&lt;&gt;"")*(Predicciones!I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H12=Fixture!D11)*(Predicciones!I12=Fixture!E11)*ISNUMBER(Fixture!D11)*(Predicciones!H12&lt;&gt;"")*(Predicciones!I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H13=Fixture!D12)*(Predicciones!I13=Fixture!E12)*ISNUMBER(Fixture!D12)*(Predicciones!H13&lt;&gt;"")*(Predicciones!I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H14=Fixture!D13)*(Predicciones!I14=Fixture!E13)*ISNUMBER(Fixture!D13)*(Predicciones!H14&lt;&gt;"")*(Predicciones!I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H15=Fixture!D14)*(Predicciones!I15=Fixture!E14)*ISNUMBER(Fixture!D14)*(Predicciones!H15&lt;&gt;"")*(Predicciones!I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H16=Fixture!D15)*(Predicciones!I16=Fixture!E15)*ISNUMBER(Fixture!D15)*(Predicciones!H16&lt;&gt;"")*(Predicciones!I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H17=Fixture!D16)*(Predicciones!I17=Fixture!E16)*ISNUMBER(Fixture!D16)*(Predicciones!H17&lt;&gt;"")*(Predicciones!I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H18=Fixture!D17)*(Predicciones!I18=Fixture!E17)*ISNUMBER(Fixture!D17)*(Predicciones!H18&lt;&gt;"")*(Predicciones!I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H19=Fixture!D18)*(Predicciones!I19=Fixture!E18)*ISNUMBER(Fixture!D18)*(Predicciones!H19&lt;&gt;"")*(Predicciones!I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H20=Fixture!D19)*(Predicciones!I20=Fixture!E19)*ISNUMBER(Fixture!D19)*(Predicciones!H20&lt;&gt;"")*(Predicciones!I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H21=Fixture!D20)*(Predicciones!I21=Fixture!E20)*ISNUMBER(Fixture!D20)*(Predicciones!H21&lt;&gt;"")*(Predicciones!I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7" s="7" t="n">
        <f aca="false">RANK(C7,C5:C19,0)</f>
        <v>1</v>
      </c>
    </row>
    <row r="8" customFormat="false" ht="21.75" hidden="false" customHeight="true" outlineLevel="0" collapsed="false">
      <c r="A8" s="8" t="n">
        <v>4</v>
      </c>
      <c r="B8" s="9" t="s">
        <v>9</v>
      </c>
      <c r="C8" s="10" t="n">
        <f aca="false">IF(((Predicciones!J6=Fixture!D5)*(Predicciones!K6=Fixture!E5)*ISNUMBER(Fixture!D5)*(Predicciones!J6&lt;&gt;"")*(Predicciones!K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J7=Fixture!D6)*(Predicciones!K7=Fixture!E6)*ISNUMBER(Fixture!D6)*(Predicciones!J7&lt;&gt;"")*(Predicciones!K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J8=Fixture!D7)*(Predicciones!K8=Fixture!E7)*ISNUMBER(Fixture!D7)*(Predicciones!J8&lt;&gt;"")*(Predicciones!K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J9=Fixture!D8)*(Predicciones!K9=Fixture!E8)*ISNUMBER(Fixture!D8)*(Predicciones!J9&lt;&gt;"")*(Predicciones!K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J10=Fixture!D9)*(Predicciones!K10=Fixture!E9)*ISNUMBER(Fixture!D9)*(Predicciones!J10&lt;&gt;"")*(Predicciones!K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J11=Fixture!D10)*(Predicciones!K11=Fixture!E10)*ISNUMBER(Fixture!D10)*(Predicciones!J11&lt;&gt;"")*(Predicciones!K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J12=Fixture!D11)*(Predicciones!K12=Fixture!E11)*ISNUMBER(Fixture!D11)*(Predicciones!J12&lt;&gt;"")*(Predicciones!K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J13=Fixture!D12)*(Predicciones!K13=Fixture!E12)*ISNUMBER(Fixture!D12)*(Predicciones!J13&lt;&gt;"")*(Predicciones!K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J14=Fixture!D13)*(Predicciones!K14=Fixture!E13)*ISNUMBER(Fixture!D13)*(Predicciones!J14&lt;&gt;"")*(Predicciones!K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J15=Fixture!D14)*(Predicciones!K15=Fixture!E14)*ISNUMBER(Fixture!D14)*(Predicciones!J15&lt;&gt;"")*(Predicciones!K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J16=Fixture!D15)*(Predicciones!K16=Fixture!E15)*ISNUMBER(Fixture!D15)*(Predicciones!J16&lt;&gt;"")*(Predicciones!K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J17=Fixture!D16)*(Predicciones!K17=Fixture!E16)*ISNUMBER(Fixture!D16)*(Predicciones!J17&lt;&gt;"")*(Predicciones!K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J18=Fixture!D17)*(Predicciones!K18=Fixture!E17)*ISNUMBER(Fixture!D17)*(Predicciones!J18&lt;&gt;"")*(Predicciones!K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J19=Fixture!D18)*(Predicciones!K19=Fixture!E18)*ISNUMBER(Fixture!D18)*(Predicciones!J19&lt;&gt;"")*(Predicciones!K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J20=Fixture!D19)*(Predicciones!K20=Fixture!E19)*ISNUMBER(Fixture!D19)*(Predicciones!J20&lt;&gt;"")*(Predicciones!K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J21=Fixture!D20)*(Predicciones!K21=Fixture!E20)*ISNUMBER(Fixture!D20)*(Predicciones!J21&lt;&gt;"")*(Predicciones!K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8" s="11" t="n">
        <f aca="false">RANK(C8,C5:C19,0)</f>
        <v>1</v>
      </c>
    </row>
    <row r="9" customFormat="false" ht="21.75" hidden="false" customHeight="true" outlineLevel="0" collapsed="false">
      <c r="A9" s="4" t="n">
        <v>5</v>
      </c>
      <c r="B9" s="5" t="s">
        <v>10</v>
      </c>
      <c r="C9" s="6" t="n">
        <f aca="false">IF(((Predicciones!L6=Fixture!D5)*(Predicciones!M6=Fixture!E5)*ISNUMBER(Fixture!D5)*(Predicciones!L6&lt;&gt;"")*(Predicciones!M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L7=Fixture!D6)*(Predicciones!M7=Fixture!E6)*ISNUMBER(Fixture!D6)*(Predicciones!L7&lt;&gt;"")*(Predicciones!M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L8=Fixture!D7)*(Predicciones!M8=Fixture!E7)*ISNUMBER(Fixture!D7)*(Predicciones!L8&lt;&gt;"")*(Predicciones!M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L9=Fixture!D8)*(Predicciones!M9=Fixture!E8)*ISNUMBER(Fixture!D8)*(Predicciones!L9&lt;&gt;"")*(Predicciones!M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L10=Fixture!D9)*(Predicciones!M10=Fixture!E9)*ISNUMBER(Fixture!D9)*(Predicciones!L10&lt;&gt;"")*(Predicciones!M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L11=Fixture!D10)*(Predicciones!M11=Fixture!E10)*ISNUMBER(Fixture!D10)*(Predicciones!L11&lt;&gt;"")*(Predicciones!M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L12=Fixture!D11)*(Predicciones!M12=Fixture!E11)*ISNUMBER(Fixture!D11)*(Predicciones!L12&lt;&gt;"")*(Predicciones!M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L13=Fixture!D12)*(Predicciones!M13=Fixture!E12)*ISNUMBER(Fixture!D12)*(Predicciones!L13&lt;&gt;"")*(Predicciones!M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L14=Fixture!D13)*(Predicciones!M14=Fixture!E13)*ISNUMBER(Fixture!D13)*(Predicciones!L14&lt;&gt;"")*(Predicciones!M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L15=Fixture!D14)*(Predicciones!M15=Fixture!E14)*ISNUMBER(Fixture!D14)*(Predicciones!L15&lt;&gt;"")*(Predicciones!M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L16=Fixture!D15)*(Predicciones!M16=Fixture!E15)*ISNUMBER(Fixture!D15)*(Predicciones!L16&lt;&gt;"")*(Predicciones!M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L17=Fixture!D16)*(Predicciones!M17=Fixture!E16)*ISNUMBER(Fixture!D16)*(Predicciones!L17&lt;&gt;"")*(Predicciones!M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L18=Fixture!D17)*(Predicciones!M18=Fixture!E17)*ISNUMBER(Fixture!D17)*(Predicciones!L18&lt;&gt;"")*(Predicciones!M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L19=Fixture!D18)*(Predicciones!M19=Fixture!E18)*ISNUMBER(Fixture!D18)*(Predicciones!L19&lt;&gt;"")*(Predicciones!M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L20=Fixture!D19)*(Predicciones!M20=Fixture!E19)*ISNUMBER(Fixture!D19)*(Predicciones!L20&lt;&gt;"")*(Predicciones!M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L21=Fixture!D20)*(Predicciones!M21=Fixture!E20)*ISNUMBER(Fixture!D20)*(Predicciones!L21&lt;&gt;"")*(Predicciones!M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9" s="7" t="n">
        <f aca="false">RANK(C9,C5:C19,0)</f>
        <v>1</v>
      </c>
    </row>
    <row r="10" customFormat="false" ht="21.75" hidden="false" customHeight="true" outlineLevel="0" collapsed="false">
      <c r="A10" s="8" t="n">
        <v>6</v>
      </c>
      <c r="B10" s="9" t="s">
        <v>11</v>
      </c>
      <c r="C10" s="10" t="n">
        <f aca="false">IF(((Predicciones!N6=Fixture!D5)*(Predicciones!O6=Fixture!E5)*ISNUMBER(Fixture!D5)*(Predicciones!N6&lt;&gt;"")*(Predicciones!O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N7=Fixture!D6)*(Predicciones!O7=Fixture!E6)*ISNUMBER(Fixture!D6)*(Predicciones!N7&lt;&gt;"")*(Predicciones!O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N8=Fixture!D7)*(Predicciones!O8=Fixture!E7)*ISNUMBER(Fixture!D7)*(Predicciones!N8&lt;&gt;"")*(Predicciones!O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N9=Fixture!D8)*(Predicciones!O9=Fixture!E8)*ISNUMBER(Fixture!D8)*(Predicciones!N9&lt;&gt;"")*(Predicciones!O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N10=Fixture!D9)*(Predicciones!O10=Fixture!E9)*ISNUMBER(Fixture!D9)*(Predicciones!N10&lt;&gt;"")*(Predicciones!O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N11=Fixture!D10)*(Predicciones!O11=Fixture!E10)*ISNUMBER(Fixture!D10)*(Predicciones!N11&lt;&gt;"")*(Predicciones!O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N12=Fixture!D11)*(Predicciones!O12=Fixture!E11)*ISNUMBER(Fixture!D11)*(Predicciones!N12&lt;&gt;"")*(Predicciones!O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N13=Fixture!D12)*(Predicciones!O13=Fixture!E12)*ISNUMBER(Fixture!D12)*(Predicciones!N13&lt;&gt;"")*(Predicciones!O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N14=Fixture!D13)*(Predicciones!O14=Fixture!E13)*ISNUMBER(Fixture!D13)*(Predicciones!N14&lt;&gt;"")*(Predicciones!O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N15=Fixture!D14)*(Predicciones!O15=Fixture!E14)*ISNUMBER(Fixture!D14)*(Predicciones!N15&lt;&gt;"")*(Predicciones!O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N16=Fixture!D15)*(Predicciones!O16=Fixture!E15)*ISNUMBER(Fixture!D15)*(Predicciones!N16&lt;&gt;"")*(Predicciones!O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N17=Fixture!D16)*(Predicciones!O17=Fixture!E16)*ISNUMBER(Fixture!D16)*(Predicciones!N17&lt;&gt;"")*(Predicciones!O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N18=Fixture!D17)*(Predicciones!O18=Fixture!E17)*ISNUMBER(Fixture!D17)*(Predicciones!N18&lt;&gt;"")*(Predicciones!O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N19=Fixture!D18)*(Predicciones!O19=Fixture!E18)*ISNUMBER(Fixture!D18)*(Predicciones!N19&lt;&gt;"")*(Predicciones!O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N20=Fixture!D19)*(Predicciones!O20=Fixture!E19)*ISNUMBER(Fixture!D19)*(Predicciones!N20&lt;&gt;"")*(Predicciones!O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N21=Fixture!D20)*(Predicciones!O21=Fixture!E20)*ISNUMBER(Fixture!D20)*(Predicciones!N21&lt;&gt;"")*(Predicciones!O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10" s="11" t="n">
        <f aca="false">RANK(C10,C5:C19,0)</f>
        <v>1</v>
      </c>
    </row>
    <row r="11" customFormat="false" ht="21.75" hidden="false" customHeight="true" outlineLevel="0" collapsed="false">
      <c r="A11" s="4" t="n">
        <v>7</v>
      </c>
      <c r="B11" s="5" t="s">
        <v>12</v>
      </c>
      <c r="C11" s="6" t="n">
        <f aca="false">IF(((Predicciones!P6=Fixture!D5)*(Predicciones!Q6=Fixture!E5)*ISNUMBER(Fixture!D5)*(Predicciones!P6&lt;&gt;"")*(Predicciones!Q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P7=Fixture!D6)*(Predicciones!Q7=Fixture!E6)*ISNUMBER(Fixture!D6)*(Predicciones!P7&lt;&gt;"")*(Predicciones!Q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P8=Fixture!D7)*(Predicciones!Q8=Fixture!E7)*ISNUMBER(Fixture!D7)*(Predicciones!P8&lt;&gt;"")*(Predicciones!Q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P9=Fixture!D8)*(Predicciones!Q9=Fixture!E8)*ISNUMBER(Fixture!D8)*(Predicciones!P9&lt;&gt;"")*(Predicciones!Q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P10=Fixture!D9)*(Predicciones!Q10=Fixture!E9)*ISNUMBER(Fixture!D9)*(Predicciones!P10&lt;&gt;"")*(Predicciones!Q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P11=Fixture!D10)*(Predicciones!Q11=Fixture!E10)*ISNUMBER(Fixture!D10)*(Predicciones!P11&lt;&gt;"")*(Predicciones!Q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P12=Fixture!D11)*(Predicciones!Q12=Fixture!E11)*ISNUMBER(Fixture!D11)*(Predicciones!P12&lt;&gt;"")*(Predicciones!Q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P13=Fixture!D12)*(Predicciones!Q13=Fixture!E12)*ISNUMBER(Fixture!D12)*(Predicciones!P13&lt;&gt;"")*(Predicciones!Q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P14=Fixture!D13)*(Predicciones!Q14=Fixture!E13)*ISNUMBER(Fixture!D13)*(Predicciones!P14&lt;&gt;"")*(Predicciones!Q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P15=Fixture!D14)*(Predicciones!Q15=Fixture!E14)*ISNUMBER(Fixture!D14)*(Predicciones!P15&lt;&gt;"")*(Predicciones!Q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P16=Fixture!D15)*(Predicciones!Q16=Fixture!E15)*ISNUMBER(Fixture!D15)*(Predicciones!P16&lt;&gt;"")*(Predicciones!Q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P17=Fixture!D16)*(Predicciones!Q17=Fixture!E16)*ISNUMBER(Fixture!D16)*(Predicciones!P17&lt;&gt;"")*(Predicciones!Q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P18=Fixture!D17)*(Predicciones!Q18=Fixture!E17)*ISNUMBER(Fixture!D17)*(Predicciones!P18&lt;&gt;"")*(Predicciones!Q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P19=Fixture!D18)*(Predicciones!Q19=Fixture!E18)*ISNUMBER(Fixture!D18)*(Predicciones!P19&lt;&gt;"")*(Predicciones!Q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P20=Fixture!D19)*(Predicciones!Q20=Fixture!E19)*ISNUMBER(Fixture!D19)*(Predicciones!P20&lt;&gt;"")*(Predicciones!Q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P21=Fixture!D20)*(Predicciones!Q21=Fixture!E20)*ISNUMBER(Fixture!D20)*(Predicciones!P21&lt;&gt;"")*(Predicciones!Q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11" s="7" t="n">
        <f aca="false">RANK(C11,C5:C19,0)</f>
        <v>1</v>
      </c>
    </row>
    <row r="12" customFormat="false" ht="21.75" hidden="false" customHeight="true" outlineLevel="0" collapsed="false">
      <c r="A12" s="8" t="n">
        <v>8</v>
      </c>
      <c r="B12" s="9" t="s">
        <v>13</v>
      </c>
      <c r="C12" s="10" t="n">
        <f aca="false">IF(((Predicciones!R6=Fixture!D5)*(Predicciones!S6=Fixture!E5)*ISNUMBER(Fixture!D5)*(Predicciones!R6&lt;&gt;"")*(Predicciones!S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R7=Fixture!D6)*(Predicciones!S7=Fixture!E6)*ISNUMBER(Fixture!D6)*(Predicciones!R7&lt;&gt;"")*(Predicciones!S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R8=Fixture!D7)*(Predicciones!S8=Fixture!E7)*ISNUMBER(Fixture!D7)*(Predicciones!R8&lt;&gt;"")*(Predicciones!S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R9=Fixture!D8)*(Predicciones!S9=Fixture!E8)*ISNUMBER(Fixture!D8)*(Predicciones!R9&lt;&gt;"")*(Predicciones!S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R10=Fixture!D9)*(Predicciones!S10=Fixture!E9)*ISNUMBER(Fixture!D9)*(Predicciones!R10&lt;&gt;"")*(Predicciones!S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R11=Fixture!D10)*(Predicciones!S11=Fixture!E10)*ISNUMBER(Fixture!D10)*(Predicciones!R11&lt;&gt;"")*(Predicciones!S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R12=Fixture!D11)*(Predicciones!S12=Fixture!E11)*ISNUMBER(Fixture!D11)*(Predicciones!R12&lt;&gt;"")*(Predicciones!S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R13=Fixture!D12)*(Predicciones!S13=Fixture!E12)*ISNUMBER(Fixture!D12)*(Predicciones!R13&lt;&gt;"")*(Predicciones!S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R14=Fixture!D13)*(Predicciones!S14=Fixture!E13)*ISNUMBER(Fixture!D13)*(Predicciones!R14&lt;&gt;"")*(Predicciones!S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R15=Fixture!D14)*(Predicciones!S15=Fixture!E14)*ISNUMBER(Fixture!D14)*(Predicciones!R15&lt;&gt;"")*(Predicciones!S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R16=Fixture!D15)*(Predicciones!S16=Fixture!E15)*ISNUMBER(Fixture!D15)*(Predicciones!R16&lt;&gt;"")*(Predicciones!S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R17=Fixture!D16)*(Predicciones!S17=Fixture!E16)*ISNUMBER(Fixture!D16)*(Predicciones!R17&lt;&gt;"")*(Predicciones!S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R18=Fixture!D17)*(Predicciones!S18=Fixture!E17)*ISNUMBER(Fixture!D17)*(Predicciones!R18&lt;&gt;"")*(Predicciones!S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R19=Fixture!D18)*(Predicciones!S19=Fixture!E18)*ISNUMBER(Fixture!D18)*(Predicciones!R19&lt;&gt;"")*(Predicciones!S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R20=Fixture!D19)*(Predicciones!S20=Fixture!E19)*ISNUMBER(Fixture!D19)*(Predicciones!R20&lt;&gt;"")*(Predicciones!S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R21=Fixture!D20)*(Predicciones!S21=Fixture!E20)*ISNUMBER(Fixture!D20)*(Predicciones!R21&lt;&gt;"")*(Predicciones!S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12" s="11" t="n">
        <f aca="false">RANK(C12,C5:C19,0)</f>
        <v>1</v>
      </c>
    </row>
    <row r="13" customFormat="false" ht="21.75" hidden="false" customHeight="true" outlineLevel="0" collapsed="false">
      <c r="A13" s="4" t="n">
        <v>9</v>
      </c>
      <c r="B13" s="5" t="s">
        <v>14</v>
      </c>
      <c r="C13" s="6" t="n">
        <f aca="false">IF(((Predicciones!T6=Fixture!D5)*(Predicciones!U6=Fixture!E5)*ISNUMBER(Fixture!D5)*(Predicciones!T6&lt;&gt;"")*(Predicciones!U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T7=Fixture!D6)*(Predicciones!U7=Fixture!E6)*ISNUMBER(Fixture!D6)*(Predicciones!T7&lt;&gt;"")*(Predicciones!U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T8=Fixture!D7)*(Predicciones!U8=Fixture!E7)*ISNUMBER(Fixture!D7)*(Predicciones!T8&lt;&gt;"")*(Predicciones!U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T9=Fixture!D8)*(Predicciones!U9=Fixture!E8)*ISNUMBER(Fixture!D8)*(Predicciones!T9&lt;&gt;"")*(Predicciones!U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T10=Fixture!D9)*(Predicciones!U10=Fixture!E9)*ISNUMBER(Fixture!D9)*(Predicciones!T10&lt;&gt;"")*(Predicciones!U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T11=Fixture!D10)*(Predicciones!U11=Fixture!E10)*ISNUMBER(Fixture!D10)*(Predicciones!T11&lt;&gt;"")*(Predicciones!U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T12=Fixture!D11)*(Predicciones!U12=Fixture!E11)*ISNUMBER(Fixture!D11)*(Predicciones!T12&lt;&gt;"")*(Predicciones!U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T13=Fixture!D12)*(Predicciones!U13=Fixture!E12)*ISNUMBER(Fixture!D12)*(Predicciones!T13&lt;&gt;"")*(Predicciones!U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T14=Fixture!D13)*(Predicciones!U14=Fixture!E13)*ISNUMBER(Fixture!D13)*(Predicciones!T14&lt;&gt;"")*(Predicciones!U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T15=Fixture!D14)*(Predicciones!U15=Fixture!E14)*ISNUMBER(Fixture!D14)*(Predicciones!T15&lt;&gt;"")*(Predicciones!U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T16=Fixture!D15)*(Predicciones!U16=Fixture!E15)*ISNUMBER(Fixture!D15)*(Predicciones!T16&lt;&gt;"")*(Predicciones!U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T17=Fixture!D16)*(Predicciones!U17=Fixture!E16)*ISNUMBER(Fixture!D16)*(Predicciones!T17&lt;&gt;"")*(Predicciones!U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T18=Fixture!D17)*(Predicciones!U18=Fixture!E17)*ISNUMBER(Fixture!D17)*(Predicciones!T18&lt;&gt;"")*(Predicciones!U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T19=Fixture!D18)*(Predicciones!U19=Fixture!E18)*ISNUMBER(Fixture!D18)*(Predicciones!T19&lt;&gt;"")*(Predicciones!U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T20=Fixture!D19)*(Predicciones!U20=Fixture!E19)*ISNUMBER(Fixture!D19)*(Predicciones!T20&lt;&gt;"")*(Predicciones!U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T21=Fixture!D20)*(Predicciones!U21=Fixture!E20)*ISNUMBER(Fixture!D20)*(Predicciones!T21&lt;&gt;"")*(Predicciones!U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13" s="7" t="n">
        <f aca="false">RANK(C13,C5:C19,0)</f>
        <v>1</v>
      </c>
    </row>
    <row r="14" customFormat="false" ht="21.75" hidden="false" customHeight="true" outlineLevel="0" collapsed="false">
      <c r="A14" s="8" t="n">
        <v>10</v>
      </c>
      <c r="B14" s="9" t="s">
        <v>15</v>
      </c>
      <c r="C14" s="10" t="n">
        <f aca="false">IF(((Predicciones!V6=Fixture!D5)*(Predicciones!W6=Fixture!E5)*ISNUMBER(Fixture!D5)*(Predicciones!V6&lt;&gt;"")*(Predicciones!W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V7=Fixture!D6)*(Predicciones!W7=Fixture!E6)*ISNUMBER(Fixture!D6)*(Predicciones!V7&lt;&gt;"")*(Predicciones!W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V8=Fixture!D7)*(Predicciones!W8=Fixture!E7)*ISNUMBER(Fixture!D7)*(Predicciones!V8&lt;&gt;"")*(Predicciones!W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V9=Fixture!D8)*(Predicciones!W9=Fixture!E8)*ISNUMBER(Fixture!D8)*(Predicciones!V9&lt;&gt;"")*(Predicciones!W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V10=Fixture!D9)*(Predicciones!W10=Fixture!E9)*ISNUMBER(Fixture!D9)*(Predicciones!V10&lt;&gt;"")*(Predicciones!W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V11=Fixture!D10)*(Predicciones!W11=Fixture!E10)*ISNUMBER(Fixture!D10)*(Predicciones!V11&lt;&gt;"")*(Predicciones!W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V12=Fixture!D11)*(Predicciones!W12=Fixture!E11)*ISNUMBER(Fixture!D11)*(Predicciones!V12&lt;&gt;"")*(Predicciones!W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V13=Fixture!D12)*(Predicciones!W13=Fixture!E12)*ISNUMBER(Fixture!D12)*(Predicciones!V13&lt;&gt;"")*(Predicciones!W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V14=Fixture!D13)*(Predicciones!W14=Fixture!E13)*ISNUMBER(Fixture!D13)*(Predicciones!V14&lt;&gt;"")*(Predicciones!W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V15=Fixture!D14)*(Predicciones!W15=Fixture!E14)*ISNUMBER(Fixture!D14)*(Predicciones!V15&lt;&gt;"")*(Predicciones!W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V16=Fixture!D15)*(Predicciones!W16=Fixture!E15)*ISNUMBER(Fixture!D15)*(Predicciones!V16&lt;&gt;"")*(Predicciones!W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V17=Fixture!D16)*(Predicciones!W17=Fixture!E16)*ISNUMBER(Fixture!D16)*(Predicciones!V17&lt;&gt;"")*(Predicciones!W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V18=Fixture!D17)*(Predicciones!W18=Fixture!E17)*ISNUMBER(Fixture!D17)*(Predicciones!V18&lt;&gt;"")*(Predicciones!W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V19=Fixture!D18)*(Predicciones!W19=Fixture!E18)*ISNUMBER(Fixture!D18)*(Predicciones!V19&lt;&gt;"")*(Predicciones!W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V20=Fixture!D19)*(Predicciones!W20=Fixture!E19)*ISNUMBER(Fixture!D19)*(Predicciones!V20&lt;&gt;"")*(Predicciones!W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V21=Fixture!D20)*(Predicciones!W21=Fixture!E20)*ISNUMBER(Fixture!D20)*(Predicciones!V21&lt;&gt;"")*(Predicciones!W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14" s="11" t="n">
        <f aca="false">RANK(C14,C5:C19,0)</f>
        <v>1</v>
      </c>
    </row>
    <row r="15" customFormat="false" ht="21.75" hidden="false" customHeight="true" outlineLevel="0" collapsed="false">
      <c r="A15" s="4" t="n">
        <v>11</v>
      </c>
      <c r="B15" s="5" t="s">
        <v>16</v>
      </c>
      <c r="C15" s="6" t="n">
        <f aca="false">IF(((Predicciones!X6=Fixture!D5)*(Predicciones!Y6=Fixture!E5)*ISNUMBER(Fixture!D5)*(Predicciones!X6&lt;&gt;"")*(Predicciones!Y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X7=Fixture!D6)*(Predicciones!Y7=Fixture!E6)*ISNUMBER(Fixture!D6)*(Predicciones!X7&lt;&gt;"")*(Predicciones!Y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X8=Fixture!D7)*(Predicciones!Y8=Fixture!E7)*ISNUMBER(Fixture!D7)*(Predicciones!X8&lt;&gt;"")*(Predicciones!Y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X9=Fixture!D8)*(Predicciones!Y9=Fixture!E8)*ISNUMBER(Fixture!D8)*(Predicciones!X9&lt;&gt;"")*(Predicciones!Y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X10=Fixture!D9)*(Predicciones!Y10=Fixture!E9)*ISNUMBER(Fixture!D9)*(Predicciones!X10&lt;&gt;"")*(Predicciones!Y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X11=Fixture!D10)*(Predicciones!Y11=Fixture!E10)*ISNUMBER(Fixture!D10)*(Predicciones!X11&lt;&gt;"")*(Predicciones!Y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X12=Fixture!D11)*(Predicciones!Y12=Fixture!E11)*ISNUMBER(Fixture!D11)*(Predicciones!X12&lt;&gt;"")*(Predicciones!Y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X13=Fixture!D12)*(Predicciones!Y13=Fixture!E12)*ISNUMBER(Fixture!D12)*(Predicciones!X13&lt;&gt;"")*(Predicciones!Y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X14=Fixture!D13)*(Predicciones!Y14=Fixture!E13)*ISNUMBER(Fixture!D13)*(Predicciones!X14&lt;&gt;"")*(Predicciones!Y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X15=Fixture!D14)*(Predicciones!Y15=Fixture!E14)*ISNUMBER(Fixture!D14)*(Predicciones!X15&lt;&gt;"")*(Predicciones!Y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X16=Fixture!D15)*(Predicciones!Y16=Fixture!E15)*ISNUMBER(Fixture!D15)*(Predicciones!X16&lt;&gt;"")*(Predicciones!Y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X17=Fixture!D16)*(Predicciones!Y17=Fixture!E16)*ISNUMBER(Fixture!D16)*(Predicciones!X17&lt;&gt;"")*(Predicciones!Y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X18=Fixture!D17)*(Predicciones!Y18=Fixture!E17)*ISNUMBER(Fixture!D17)*(Predicciones!X18&lt;&gt;"")*(Predicciones!Y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X19=Fixture!D18)*(Predicciones!Y19=Fixture!E18)*ISNUMBER(Fixture!D18)*(Predicciones!X19&lt;&gt;"")*(Predicciones!Y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X20=Fixture!D19)*(Predicciones!Y20=Fixture!E19)*ISNUMBER(Fixture!D19)*(Predicciones!X20&lt;&gt;"")*(Predicciones!Y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X21=Fixture!D20)*(Predicciones!Y21=Fixture!E20)*ISNUMBER(Fixture!D20)*(Predicciones!X21&lt;&gt;"")*(Predicciones!Y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cciones!R21=Fixture!D20)*(predic))),TRUE()))</f>
        <v>0</v>
      </c>
      <c r="D15" s="7" t="n">
        <f aca="false">RANK(C15,C5:C19,0)</f>
        <v>1</v>
      </c>
    </row>
    <row r="16" customFormat="false" ht="21.75" hidden="false" customHeight="true" outlineLevel="0" collapsed="false">
      <c r="A16" s="8" t="n">
        <v>12</v>
      </c>
      <c r="B16" s="9" t="s">
        <v>17</v>
      </c>
      <c r="C16" s="10" t="n">
        <f aca="false">IF(((Predicciones!Z6=Fixture!D5)*(Predicciones!AA6=Fixture!E5)*ISNUMBER(Fixture!D5)*(Predicciones!Z6&lt;&gt;"")*(Predicciones!AA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Z7=Fixture!D6)*(Predicciones!AA7=Fixture!E6)*ISNUMBER(Fixture!D6)*(Predicciones!Z7&lt;&gt;"")*(Predicciones!AA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Z8=Fixture!D7)*(Predicciones!AA8=Fixture!E7)*ISNUMBER(Fixture!D7)*(Predicciones!Z8&lt;&gt;"")*(Predicciones!AA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Z9=Fixture!D8)*(Predicciones!AA9=Fixture!E8)*ISNUMBER(Fixture!D8)*(Predicciones!Z9&lt;&gt;"")*(Predicciones!AA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Z10=Fixture!D9)*(Predicciones!AA10=Fixture!E9)*ISNUMBER(Fixture!D9)*(Predicciones!Z10&lt;&gt;"")*(Predicciones!AA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Z11=Fixture!D10)*(Predicciones!AA11=Fixture!E10)*ISNUMBER(Fixture!D10)*(Predicciones!Z11&lt;&gt;"")*(Predicciones!AA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Z12=Fixture!D11)*(Predicciones!AA12=Fixture!E11)*ISNUMBER(Fixture!D11)*(Predicciones!Z12&lt;&gt;"")*(Predicciones!AA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Z13=Fixture!D12)*(Predicciones!AA13=Fixture!E12)*ISNUMBER(Fixture!D12)*(Predicciones!Z13&lt;&gt;"")*(Predicciones!AA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Z14=Fixture!D13)*(Predicciones!AA14=Fixture!E13)*ISNUMBER(Fixture!D13)*(Predicciones!Z14&lt;&gt;"")*(Predicciones!AA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Z15=Fixture!D14)*(Predicciones!AA15=Fixture!E14)*ISNUMBER(Fixture!D14)*(Predicciones!Z15&lt;&gt;"")*(Predicciones!AA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Z16=Fixture!D15)*(Predicciones!AA16=Fixture!E15)*ISNUMBER(Fixture!D15)*(Predicciones!Z16&lt;&gt;"")*(Predicciones!AA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Z17=Fixture!D16)*(Predicciones!AA17=Fixture!E16)*ISNUMBER(Fixture!D16)*(Predicciones!Z17&lt;&gt;"")*(Predicciones!AA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Z18=Fixture!D17)*(Predicciones!AA18=Fixture!E17)*ISNUMBER(Fixture!D17)*(Predicciones!Z18&lt;&gt;"")*(Predicciones!AA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Z19=Fixture!D18)*(Predicciones!AA19=Fixture!E18)*ISNUMBER(Fixture!D18)*(Predicciones!Z19&lt;&gt;"")*(Predicciones!AA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Z20=Fixture!D19)*(Predicciones!AA20=Fixture!E19)*ISNUMBER(Fixture!D19)*(Predicciones!Z20&lt;&gt;"")*(Predicciones!AA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Z21=Fixture!D20)*(Predicciones!AA21=Fixture!E20)*ISNUMBER(Fixture!D20)*(Predicciones!Z21&lt;&gt;"")*(Predicciones!AA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*(Predicciones!Q21&lt;&gt;""))+((predi))),TRUE()))</f>
        <v>0</v>
      </c>
      <c r="D16" s="11" t="n">
        <f aca="false">RANK(C16,C5:C19,0)</f>
        <v>1</v>
      </c>
    </row>
    <row r="17" customFormat="false" ht="21.75" hidden="false" customHeight="true" outlineLevel="0" collapsed="false">
      <c r="A17" s="4" t="n">
        <v>13</v>
      </c>
      <c r="B17" s="5" t="s">
        <v>18</v>
      </c>
      <c r="C17" s="6" t="n">
        <f aca="false">IF(((Predicciones!AB6=Fixture!D5)*(Predicciones!AC6=Fixture!E5)*ISNUMBER(Fixture!D5)*(Predicciones!AB6&lt;&gt;"")*(Predicciones!AC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AB7=Fixture!D6)*(Predicciones!AC7=Fixture!E6)*ISNUMBER(Fixture!D6)*(Predicciones!AB7&lt;&gt;"")*(Predicciones!AC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AB8=Fixture!D7)*(Predicciones!AC8=Fixture!E7)*ISNUMBER(Fixture!D7)*(Predicciones!AB8&lt;&gt;"")*(Predicciones!AC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AB9=Fixture!D8)*(Predicciones!AC9=Fixture!E8)*ISNUMBER(Fixture!D8)*(Predicciones!AB9&lt;&gt;"")*(Predicciones!AC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AB10=Fixture!D9)*(Predicciones!AC10=Fixture!E9)*ISNUMBER(Fixture!D9)*(Predicciones!AB10&lt;&gt;"")*(Predicciones!AC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AB11=Fixture!D10)*(Predicciones!AC11=Fixture!E10)*ISNUMBER(Fixture!D10)*(Predicciones!AB11&lt;&gt;"")*(Predicciones!AC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AB12=Fixture!D11)*(Predicciones!AC12=Fixture!E11)*ISNUMBER(Fixture!D11)*(Predicciones!AB12&lt;&gt;"")*(Predicciones!AC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AB13=Fixture!D12)*(Predicciones!AC13=Fixture!E12)*ISNUMBER(Fixture!D12)*(Predicciones!AB13&lt;&gt;"")*(Predicciones!AC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AB14=Fixture!D13)*(Predicciones!AC14=Fixture!E13)*ISNUMBER(Fixture!D13)*(Predicciones!AB14&lt;&gt;"")*(Predicciones!AC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AB15=Fixture!D14)*(Predicciones!AC15=Fixture!E14)*ISNUMBER(Fixture!D14)*(Predicciones!AB15&lt;&gt;"")*(Predicciones!AC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AB16=Fixture!D15)*(Predicciones!AC16=Fixture!E15)*ISNUMBER(Fixture!D15)*(Predicciones!AB16&lt;&gt;"")*(Predicciones!AC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AB17=Fixture!D16)*(Predicciones!AC17=Fixture!E16)*ISNUMBER(Fixture!D16)*(Predicciones!AB17&lt;&gt;"")*(Predicciones!AC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AB18=Fixture!D17)*(Predicciones!AC18=Fixture!E17)*ISNUMBER(Fixture!D17)*(Predicciones!AB18&lt;&gt;"")*(Predicciones!AC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AB19=Fixture!D18)*(Predicciones!AC19=Fixture!E18)*ISNUMBER(Fixture!D18)*(Predicciones!AB19&lt;&gt;"")*(Predicciones!AC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AB20=Fixture!D19)*(Predicciones!AC20=Fixture!E19)*ISNUMBER(Fixture!D19)*(Predicciones!AB20&lt;&gt;"")*(Predicciones!AC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AB21=Fixture!D20)*(Predicciones!AC21=Fixture!E20)*ISNUMBER(Fixture!D20)*(Predicciones!AB21&lt;&gt;"")*(Predicciones!AC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)),TRUE()))</f>
        <v>0</v>
      </c>
      <c r="D17" s="7" t="n">
        <f aca="false">RANK(C17,C5:C19,0)</f>
        <v>1</v>
      </c>
    </row>
    <row r="18" customFormat="false" ht="21.75" hidden="false" customHeight="true" outlineLevel="0" collapsed="false">
      <c r="A18" s="8" t="n">
        <v>14</v>
      </c>
      <c r="B18" s="9" t="s">
        <v>19</v>
      </c>
      <c r="C18" s="10" t="n">
        <f aca="false">IF(((Predicciones!AD6=Fixture!D5)*(Predicciones!AE6=Fixture!E5)*ISNUMBER(Fixture!D5)*(Predicciones!AD6&lt;&gt;"")*(Predicciones!AE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AD7=Fixture!D6)*(Predicciones!AE7=Fixture!E6)*ISNUMBER(Fixture!D6)*(Predicciones!AD7&lt;&gt;"")*(Predicciones!AE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AD8=Fixture!D7)*(Predicciones!AE8=Fixture!E7)*ISNUMBER(Fixture!D7)*(Predicciones!AD8&lt;&gt;"")*(Predicciones!AE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AD9=Fixture!D8)*(Predicciones!AE9=Fixture!E8)*ISNUMBER(Fixture!D8)*(Predicciones!AD9&lt;&gt;"")*(Predicciones!AE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AD10=Fixture!D9)*(Predicciones!AE10=Fixture!E9)*ISNUMBER(Fixture!D9)*(Predicciones!AD10&lt;&gt;"")*(Predicciones!AE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AD11=Fixture!D10)*(Predicciones!AE11=Fixture!E10)*ISNUMBER(Fixture!D10)*(Predicciones!AD11&lt;&gt;"")*(Predicciones!AE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AD12=Fixture!D11)*(Predicciones!AE12=Fixture!E11)*ISNUMBER(Fixture!D11)*(Predicciones!AD12&lt;&gt;"")*(Predicciones!AE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AD13=Fixture!D12)*(Predicciones!AE13=Fixture!E12)*ISNUMBER(Fixture!D12)*(Predicciones!AD13&lt;&gt;"")*(Predicciones!AE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AD14=Fixture!D13)*(Predicciones!AE14=Fixture!E13)*ISNUMBER(Fixture!D13)*(Predicciones!AD14&lt;&gt;"")*(Predicciones!AE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AD15=Fixture!D14)*(Predicciones!AE15=Fixture!E14)*ISNUMBER(Fixture!D14)*(Predicciones!AD15&lt;&gt;"")*(Predicciones!AE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AD16=Fixture!D15)*(Predicciones!AE16=Fixture!E15)*ISNUMBER(Fixture!D15)*(Predicciones!AD16&lt;&gt;"")*(Predicciones!AE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AD17=Fixture!D16)*(Predicciones!AE17=Fixture!E16)*ISNUMBER(Fixture!D16)*(Predicciones!AD17&lt;&gt;"")*(Predicciones!AE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AD18=Fixture!D17)*(Predicciones!AE18=Fixture!E17)*ISNUMBER(Fixture!D17)*(Predicciones!AD18&lt;&gt;"")*(Predicciones!AE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AD19=Fixture!D18)*(Predicciones!AE19=Fixture!E18)*ISNUMBER(Fixture!D18)*(Predicciones!AD19&lt;&gt;"")*(Predicciones!AE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AD20=Fixture!D19)*(Predicciones!AE20=Fixture!E19)*ISNUMBER(Fixture!D19)*(Predicciones!AD20&lt;&gt;"")*(Predicciones!AE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AD21=Fixture!D20)*(Predicciones!AE21=Fixture!E20)*ISNUMBER(Fixture!D20)*(Predicciones!AD21&lt;&gt;"")*(Predicciones!AE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)),TRUE()))</f>
        <v>0</v>
      </c>
      <c r="D18" s="11" t="n">
        <f aca="false">RANK(C18,C5:C19,0)</f>
        <v>1</v>
      </c>
    </row>
    <row r="19" customFormat="false" ht="21.75" hidden="false" customHeight="true" outlineLevel="0" collapsed="false">
      <c r="A19" s="4" t="n">
        <v>15</v>
      </c>
      <c r="B19" s="5" t="s">
        <v>20</v>
      </c>
      <c r="C19" s="6" t="n">
        <f aca="false">IF(((Predicciones!AF6=Fixture!D5)*(Predicciones!AG6=Fixture!E5)*ISNUMBER(Fixture!D5)*(Predicciones!AF6&lt;&gt;"")*(Predicciones!AG6&lt;&gt;"")),IF((((Predicciones!D6=Fixture!D5)*(Predicciones!E6=Fixture!E5)*ISNUMBER(Fixture!D5)*(Predicciones!D6&lt;&gt;"")*(Predicciones!E6&lt;&gt;""))+((Predicciones!F6=Fixture!D5)*(Predicciones!G6=Fixture!E5)*ISNUMBER(Fixture!D5)*(Predicciones!F6&lt;&gt;"")*(Predicciones!G6&lt;&gt;""))+((Predicciones!H6=Fixture!D5)*(Predicciones!I6=Fixture!E5)*ISNUMBER(Fixture!D5)*(Predicciones!H6&lt;&gt;"")*(Predicciones!I6&lt;&gt;""))+((Predicciones!J6=Fixture!D5)*(Predicciones!K6=Fixture!E5)*ISNUMBER(Fixture!D5)*(Predicciones!J6&lt;&gt;"")*(Predicciones!K6&lt;&gt;""))+((Predicciones!L6=Fixture!D5)*(Predicciones!M6=Fixture!E5)*ISNUMBER(Fixture!D5)*(Predicciones!L6&lt;&gt;"")*(Predicciones!M6&lt;&gt;""))+((Predicciones!N6=Fixture!D5)*(Predicciones!O6=Fixture!E5)*ISNUMBER(Fixture!D5)*(Predicciones!N6&lt;&gt;"")*(Predicciones!O6&lt;&gt;""))+((Predicciones!P6=Fixture!D5)*(Predicciones!Q6=Fixture!E5)*ISNUMBER(Fixture!D5)*(Predicciones!P6&lt;&gt;"")*(Predicciones!Q6&lt;&gt;""))+((Predicciones!R6=Fixture!D5)*(Predicciones!S6=Fixture!E5)*ISNUMBER(Fixture!D5)*(Predicciones!R6&lt;&gt;"")*(Predicciones!S6&lt;&gt;""))+((Predicciones!T6=Fixture!D5)*(Predicciones!U6=Fixture!E5)*ISNUMBER(Fixture!D5)*(Predicciones!T6&lt;&gt;"")*(Predicciones!U6&lt;&gt;""))+((Predicciones!V6=Fixture!D5)*(Predicciones!W6=Fixture!E5)*ISNUMBER(Fixture!D5)*(Predicciones!V6&lt;&gt;"")*(Predicciones!W6&lt;&gt;""))+((Predicciones!X6=Fixture!D5)*(Predicciones!Y6=Fixture!E5)*ISNUMBER(Fixture!D5)*(Predicciones!X6&lt;&gt;"")*(Predicciones!Y6&lt;&gt;""))+((Predicciones!Z6=Fixture!D5)*(Predicciones!AA6=Fixture!E5)*ISNUMBER(Fixture!D5)*(Predicciones!Z6&lt;&gt;"")*(Predicciones!AA6&lt;&gt;""))+((Predicciones!AB6=Fixture!D5)*(Predicciones!AC6=Fixture!E5)*ISNUMBER(Fixture!D5)*(Predicciones!AB6&lt;&gt;"")*(Predicciones!AC6&lt;&gt;""))+((Predicciones!AD6=Fixture!D5)*(Predicciones!AE6=Fixture!E5)*ISNUMBER(Fixture!D5)*(Predicciones!AD6&lt;&gt;"")*(Predicciones!AE6&lt;&gt;""))+((Predicciones!AF6=Fixture!D5)*(Predicciones!AG6=Fixture!E5)*ISNUMBER(Fixture!D5)*(Predicciones!AF6&lt;&gt;"")*(Predicciones!AG6&lt;&gt;"")))=1,3,1),0)+IF(((Predicciones!AF7=Fixture!D6)*(Predicciones!AG7=Fixture!E6)*ISNUMBER(Fixture!D6)*(Predicciones!AF7&lt;&gt;"")*(Predicciones!AG7&lt;&gt;"")),IF((((Predicciones!D7=Fixture!D6)*(Predicciones!E7=Fixture!E6)*ISNUMBER(Fixture!D6)*(Predicciones!D7&lt;&gt;"")*(Predicciones!E7&lt;&gt;""))+((Predicciones!F7=Fixture!D6)*(Predicciones!G7=Fixture!E6)*ISNUMBER(Fixture!D6)*(Predicciones!F7&lt;&gt;"")*(Predicciones!G7&lt;&gt;""))+((Predicciones!H7=Fixture!D6)*(Predicciones!I7=Fixture!E6)*ISNUMBER(Fixture!D6)*(Predicciones!H7&lt;&gt;"")*(Predicciones!I7&lt;&gt;""))+((Predicciones!J7=Fixture!D6)*(Predicciones!K7=Fixture!E6)*ISNUMBER(Fixture!D6)*(Predicciones!J7&lt;&gt;"")*(Predicciones!K7&lt;&gt;""))+((Predicciones!L7=Fixture!D6)*(Predicciones!M7=Fixture!E6)*ISNUMBER(Fixture!D6)*(Predicciones!L7&lt;&gt;"")*(Predicciones!M7&lt;&gt;""))+((Predicciones!N7=Fixture!D6)*(Predicciones!O7=Fixture!E6)*ISNUMBER(Fixture!D6)*(Predicciones!N7&lt;&gt;"")*(Predicciones!O7&lt;&gt;""))+((Predicciones!P7=Fixture!D6)*(Predicciones!Q7=Fixture!E6)*ISNUMBER(Fixture!D6)*(Predicciones!P7&lt;&gt;"")*(Predicciones!Q7&lt;&gt;""))+((Predicciones!R7=Fixture!D6)*(Predicciones!S7=Fixture!E6)*ISNUMBER(Fixture!D6)*(Predicciones!R7&lt;&gt;"")*(Predicciones!S7&lt;&gt;""))+((Predicciones!T7=Fixture!D6)*(Predicciones!U7=Fixture!E6)*ISNUMBER(Fixture!D6)*(Predicciones!T7&lt;&gt;"")*(Predicciones!U7&lt;&gt;""))+((Predicciones!V7=Fixture!D6)*(Predicciones!W7=Fixture!E6)*ISNUMBER(Fixture!D6)*(Predicciones!V7&lt;&gt;"")*(Predicciones!W7&lt;&gt;""))+((Predicciones!X7=Fixture!D6)*(Predicciones!Y7=Fixture!E6)*ISNUMBER(Fixture!D6)*(Predicciones!X7&lt;&gt;"")*(Predicciones!Y7&lt;&gt;""))+((Predicciones!Z7=Fixture!D6)*(Predicciones!AA7=Fixture!E6)*ISNUMBER(Fixture!D6)*(Predicciones!Z7&lt;&gt;"")*(Predicciones!AA7&lt;&gt;""))+((Predicciones!AB7=Fixture!D6)*(Predicciones!AC7=Fixture!E6)*ISNUMBER(Fixture!D6)*(Predicciones!AB7&lt;&gt;"")*(Predicciones!AC7&lt;&gt;""))+((Predicciones!AD7=Fixture!D6)*(Predicciones!AE7=Fixture!E6)*ISNUMBER(Fixture!D6)*(Predicciones!AD7&lt;&gt;"")*(Predicciones!AE7&lt;&gt;""))+((Predicciones!AF7=Fixture!D6)*(Predicciones!AG7=Fixture!E6)*ISNUMBER(Fixture!D6)*(Predicciones!AF7&lt;&gt;"")*(Predicciones!AG7&lt;&gt;"")))=1,3,1),0)+IF(((Predicciones!AF8=Fixture!D7)*(Predicciones!AG8=Fixture!E7)*ISNUMBER(Fixture!D7)*(Predicciones!AF8&lt;&gt;"")*(Predicciones!AG8&lt;&gt;"")),IF((((Predicciones!D8=Fixture!D7)*(Predicciones!E8=Fixture!E7)*ISNUMBER(Fixture!D7)*(Predicciones!D8&lt;&gt;"")*(Predicciones!E8&lt;&gt;""))+((Predicciones!F8=Fixture!D7)*(Predicciones!G8=Fixture!E7)*ISNUMBER(Fixture!D7)*(Predicciones!F8&lt;&gt;"")*(Predicciones!G8&lt;&gt;""))+((Predicciones!H8=Fixture!D7)*(Predicciones!I8=Fixture!E7)*ISNUMBER(Fixture!D7)*(Predicciones!H8&lt;&gt;"")*(Predicciones!I8&lt;&gt;""))+((Predicciones!J8=Fixture!D7)*(Predicciones!K8=Fixture!E7)*ISNUMBER(Fixture!D7)*(Predicciones!J8&lt;&gt;"")*(Predicciones!K8&lt;&gt;""))+((Predicciones!L8=Fixture!D7)*(Predicciones!M8=Fixture!E7)*ISNUMBER(Fixture!D7)*(Predicciones!L8&lt;&gt;"")*(Predicciones!M8&lt;&gt;""))+((Predicciones!N8=Fixture!D7)*(Predicciones!O8=Fixture!E7)*ISNUMBER(Fixture!D7)*(Predicciones!N8&lt;&gt;"")*(Predicciones!O8&lt;&gt;""))+((Predicciones!P8=Fixture!D7)*(Predicciones!Q8=Fixture!E7)*ISNUMBER(Fixture!D7)*(Predicciones!P8&lt;&gt;"")*(Predicciones!Q8&lt;&gt;""))+((Predicciones!R8=Fixture!D7)*(Predicciones!S8=Fixture!E7)*ISNUMBER(Fixture!D7)*(Predicciones!R8&lt;&gt;"")*(Predicciones!S8&lt;&gt;""))+((Predicciones!T8=Fixture!D7)*(Predicciones!U8=Fixture!E7)*ISNUMBER(Fixture!D7)*(Predicciones!T8&lt;&gt;"")*(Predicciones!U8&lt;&gt;""))+((Predicciones!V8=Fixture!D7)*(Predicciones!W8=Fixture!E7)*ISNUMBER(Fixture!D7)*(Predicciones!V8&lt;&gt;"")*(Predicciones!W8&lt;&gt;""))+((Predicciones!X8=Fixture!D7)*(Predicciones!Y8=Fixture!E7)*ISNUMBER(Fixture!D7)*(Predicciones!X8&lt;&gt;"")*(Predicciones!Y8&lt;&gt;""))+((Predicciones!Z8=Fixture!D7)*(Predicciones!AA8=Fixture!E7)*ISNUMBER(Fixture!D7)*(Predicciones!Z8&lt;&gt;"")*(Predicciones!AA8&lt;&gt;""))+((Predicciones!AB8=Fixture!D7)*(Predicciones!AC8=Fixture!E7)*ISNUMBER(Fixture!D7)*(Predicciones!AB8&lt;&gt;"")*(Predicciones!AC8&lt;&gt;""))+((Predicciones!AD8=Fixture!D7)*(Predicciones!AE8=Fixture!E7)*ISNUMBER(Fixture!D7)*(Predicciones!AD8&lt;&gt;"")*(Predicciones!AE8&lt;&gt;""))+((Predicciones!AF8=Fixture!D7)*(Predicciones!AG8=Fixture!E7)*ISNUMBER(Fixture!D7)*(Predicciones!AF8&lt;&gt;"")*(Predicciones!AG8&lt;&gt;"")))=1,3,1),0)+IF(((Predicciones!AF9=Fixture!D8)*(Predicciones!AG9=Fixture!E8)*ISNUMBER(Fixture!D8)*(Predicciones!AF9&lt;&gt;"")*(Predicciones!AG9&lt;&gt;"")),IF((((Predicciones!D9=Fixture!D8)*(Predicciones!E9=Fixture!E8)*ISNUMBER(Fixture!D8)*(Predicciones!D9&lt;&gt;"")*(Predicciones!E9&lt;&gt;""))+((Predicciones!F9=Fixture!D8)*(Predicciones!G9=Fixture!E8)*ISNUMBER(Fixture!D8)*(Predicciones!F9&lt;&gt;"")*(Predicciones!G9&lt;&gt;""))+((Predicciones!H9=Fixture!D8)*(Predicciones!I9=Fixture!E8)*ISNUMBER(Fixture!D8)*(Predicciones!H9&lt;&gt;"")*(Predicciones!I9&lt;&gt;""))+((Predicciones!J9=Fixture!D8)*(Predicciones!K9=Fixture!E8)*ISNUMBER(Fixture!D8)*(Predicciones!J9&lt;&gt;"")*(Predicciones!K9&lt;&gt;""))+((Predicciones!L9=Fixture!D8)*(Predicciones!M9=Fixture!E8)*ISNUMBER(Fixture!D8)*(Predicciones!L9&lt;&gt;"")*(Predicciones!M9&lt;&gt;""))+((Predicciones!N9=Fixture!D8)*(Predicciones!O9=Fixture!E8)*ISNUMBER(Fixture!D8)*(Predicciones!N9&lt;&gt;"")*(Predicciones!O9&lt;&gt;""))+((Predicciones!P9=Fixture!D8)*(Predicciones!Q9=Fixture!E8)*ISNUMBER(Fixture!D8)*(Predicciones!P9&lt;&gt;"")*(Predicciones!Q9&lt;&gt;""))+((Predicciones!R9=Fixture!D8)*(Predicciones!S9=Fixture!E8)*ISNUMBER(Fixture!D8)*(Predicciones!R9&lt;&gt;"")*(Predicciones!S9&lt;&gt;""))+((Predicciones!T9=Fixture!D8)*(Predicciones!U9=Fixture!E8)*ISNUMBER(Fixture!D8)*(Predicciones!T9&lt;&gt;"")*(Predicciones!U9&lt;&gt;""))+((Predicciones!V9=Fixture!D8)*(Predicciones!W9=Fixture!E8)*ISNUMBER(Fixture!D8)*(Predicciones!V9&lt;&gt;"")*(Predicciones!W9&lt;&gt;""))+((Predicciones!X9=Fixture!D8)*(Predicciones!Y9=Fixture!E8)*ISNUMBER(Fixture!D8)*(Predicciones!X9&lt;&gt;"")*(Predicciones!Y9&lt;&gt;""))+((Predicciones!Z9=Fixture!D8)*(Predicciones!AA9=Fixture!E8)*ISNUMBER(Fixture!D8)*(Predicciones!Z9&lt;&gt;"")*(Predicciones!AA9&lt;&gt;""))+((Predicciones!AB9=Fixture!D8)*(Predicciones!AC9=Fixture!E8)*ISNUMBER(Fixture!D8)*(Predicciones!AB9&lt;&gt;"")*(Predicciones!AC9&lt;&gt;""))+((Predicciones!AD9=Fixture!D8)*(Predicciones!AE9=Fixture!E8)*ISNUMBER(Fixture!D8)*(Predicciones!AD9&lt;&gt;"")*(Predicciones!AE9&lt;&gt;""))+((Predicciones!AF9=Fixture!D8)*(Predicciones!AG9=Fixture!E8)*ISNUMBER(Fixture!D8)*(Predicciones!AF9&lt;&gt;"")*(Predicciones!AG9&lt;&gt;"")))=1,3,1),0)+IF(((Predicciones!AF10=Fixture!D9)*(Predicciones!AG10=Fixture!E9)*ISNUMBER(Fixture!D9)*(Predicciones!AF10&lt;&gt;"")*(Predicciones!AG10&lt;&gt;"")),IF((((Predicciones!D10=Fixture!D9)*(Predicciones!E10=Fixture!E9)*ISNUMBER(Fixture!D9)*(Predicciones!D10&lt;&gt;"")*(Predicciones!E10&lt;&gt;""))+((Predicciones!F10=Fixture!D9)*(Predicciones!G10=Fixture!E9)*ISNUMBER(Fixture!D9)*(Predicciones!F10&lt;&gt;"")*(Predicciones!G10&lt;&gt;""))+((Predicciones!H10=Fixture!D9)*(Predicciones!I10=Fixture!E9)*ISNUMBER(Fixture!D9)*(Predicciones!H10&lt;&gt;"")*(Predicciones!I10&lt;&gt;""))+((Predicciones!J10=Fixture!D9)*(Predicciones!K10=Fixture!E9)*ISNUMBER(Fixture!D9)*(Predicciones!J10&lt;&gt;"")*(Predicciones!K10&lt;&gt;""))+((Predicciones!L10=Fixture!D9)*(Predicciones!M10=Fixture!E9)*ISNUMBER(Fixture!D9)*(Predicciones!L10&lt;&gt;"")*(Predicciones!M10&lt;&gt;""))+((Predicciones!N10=Fixture!D9)*(Predicciones!O10=Fixture!E9)*ISNUMBER(Fixture!D9)*(Predicciones!N10&lt;&gt;"")*(Predicciones!O10&lt;&gt;""))+((Predicciones!P10=Fixture!D9)*(Predicciones!Q10=Fixture!E9)*ISNUMBER(Fixture!D9)*(Predicciones!P10&lt;&gt;"")*(Predicciones!Q10&lt;&gt;""))+((Predicciones!R10=Fixture!D9)*(Predicciones!S10=Fixture!E9)*ISNUMBER(Fixture!D9)*(Predicciones!R10&lt;&gt;"")*(Predicciones!S10&lt;&gt;""))+((Predicciones!T10=Fixture!D9)*(Predicciones!U10=Fixture!E9)*ISNUMBER(Fixture!D9)*(Predicciones!T10&lt;&gt;"")*(Predicciones!U10&lt;&gt;""))+((Predicciones!V10=Fixture!D9)*(Predicciones!W10=Fixture!E9)*ISNUMBER(Fixture!D9)*(Predicciones!V10&lt;&gt;"")*(Predicciones!W10&lt;&gt;""))+((Predicciones!X10=Fixture!D9)*(Predicciones!Y10=Fixture!E9)*ISNUMBER(Fixture!D9)*(Predicciones!X10&lt;&gt;"")*(Predicciones!Y10&lt;&gt;""))+((Predicciones!Z10=Fixture!D9)*(Predicciones!AA10=Fixture!E9)*ISNUMBER(Fixture!D9)*(Predicciones!Z10&lt;&gt;"")*(Predicciones!AA10&lt;&gt;""))+((Predicciones!AB10=Fixture!D9)*(Predicciones!AC10=Fixture!E9)*ISNUMBER(Fixture!D9)*(Predicciones!AB10&lt;&gt;"")*(Predicciones!AC10&lt;&gt;""))+((Predicciones!AD10=Fixture!D9)*(Predicciones!AE10=Fixture!E9)*ISNUMBER(Fixture!D9)*(Predicciones!AD10&lt;&gt;"")*(Predicciones!AE10&lt;&gt;""))+((Predicciones!AF10=Fixture!D9)*(Predicciones!AG10=Fixture!E9)*ISNUMBER(Fixture!D9)*(Predicciones!AF10&lt;&gt;"")*(Predicciones!AG10&lt;&gt;"")))=1,3,1),0)+IF(((Predicciones!AF11=Fixture!D10)*(Predicciones!AG11=Fixture!E10)*ISNUMBER(Fixture!D10)*(Predicciones!AF11&lt;&gt;"")*(Predicciones!AG11&lt;&gt;"")),IF((((Predicciones!D11=Fixture!D10)*(Predicciones!E11=Fixture!E10)*ISNUMBER(Fixture!D10)*(Predicciones!D11&lt;&gt;"")*(Predicciones!E11&lt;&gt;""))+((Predicciones!F11=Fixture!D10)*(Predicciones!G11=Fixture!E10)*ISNUMBER(Fixture!D10)*(Predicciones!F11&lt;&gt;"")*(Predicciones!G11&lt;&gt;""))+((Predicciones!H11=Fixture!D10)*(Predicciones!I11=Fixture!E10)*ISNUMBER(Fixture!D10)*(Predicciones!H11&lt;&gt;"")*(Predicciones!I11&lt;&gt;""))+((Predicciones!J11=Fixture!D10)*(Predicciones!K11=Fixture!E10)*ISNUMBER(Fixture!D10)*(Predicciones!J11&lt;&gt;"")*(Predicciones!K11&lt;&gt;""))+((Predicciones!L11=Fixture!D10)*(Predicciones!M11=Fixture!E10)*ISNUMBER(Fixture!D10)*(Predicciones!L11&lt;&gt;"")*(Predicciones!M11&lt;&gt;""))+((Predicciones!N11=Fixture!D10)*(Predicciones!O11=Fixture!E10)*ISNUMBER(Fixture!D10)*(Predicciones!N11&lt;&gt;"")*(Predicciones!O11&lt;&gt;""))+((Predicciones!P11=Fixture!D10)*(Predicciones!Q11=Fixture!E10)*ISNUMBER(Fixture!D10)*(Predicciones!P11&lt;&gt;"")*(Predicciones!Q11&lt;&gt;""))+((Predicciones!R11=Fixture!D10)*(Predicciones!S11=Fixture!E10)*ISNUMBER(Fixture!D10)*(Predicciones!R11&lt;&gt;"")*(Predicciones!S11&lt;&gt;""))+((Predicciones!T11=Fixture!D10)*(Predicciones!U11=Fixture!E10)*ISNUMBER(Fixture!D10)*(Predicciones!T11&lt;&gt;"")*(Predicciones!U11&lt;&gt;""))+((Predicciones!V11=Fixture!D10)*(Predicciones!W11=Fixture!E10)*ISNUMBER(Fixture!D10)*(Predicciones!V11&lt;&gt;"")*(Predicciones!W11&lt;&gt;""))+((Predicciones!X11=Fixture!D10)*(Predicciones!Y11=Fixture!E10)*ISNUMBER(Fixture!D10)*(Predicciones!X11&lt;&gt;"")*(Predicciones!Y11&lt;&gt;""))+((Predicciones!Z11=Fixture!D10)*(Predicciones!AA11=Fixture!E10)*ISNUMBER(Fixture!D10)*(Predicciones!Z11&lt;&gt;"")*(Predicciones!AA11&lt;&gt;""))+((Predicciones!AB11=Fixture!D10)*(Predicciones!AC11=Fixture!E10)*ISNUMBER(Fixture!D10)*(Predicciones!AB11&lt;&gt;"")*(Predicciones!AC11&lt;&gt;""))+((Predicciones!AD11=Fixture!D10)*(Predicciones!AE11=Fixture!E10)*ISNUMBER(Fixture!D10)*(Predicciones!AD11&lt;&gt;"")*(Predicciones!AE11&lt;&gt;""))+((Predicciones!AF11=Fixture!D10)*(Predicciones!AG11=Fixture!E10)*ISNUMBER(Fixture!D10)*(Predicciones!AF11&lt;&gt;"")*(Predicciones!AG11&lt;&gt;"")))=1,3,1),0)+IF(((Predicciones!AF12=Fixture!D11)*(Predicciones!AG12=Fixture!E11)*ISNUMBER(Fixture!D11)*(Predicciones!AF12&lt;&gt;"")*(Predicciones!AG12&lt;&gt;"")),IF((((Predicciones!D12=Fixture!D11)*(Predicciones!E12=Fixture!E11)*ISNUMBER(Fixture!D11)*(Predicciones!D12&lt;&gt;"")*(Predicciones!E12&lt;&gt;""))+((Predicciones!F12=Fixture!D11)*(Predicciones!G12=Fixture!E11)*ISNUMBER(Fixture!D11)*(Predicciones!F12&lt;&gt;"")*(Predicciones!G12&lt;&gt;""))+((Predicciones!H12=Fixture!D11)*(Predicciones!I12=Fixture!E11)*ISNUMBER(Fixture!D11)*(Predicciones!H12&lt;&gt;"")*(Predicciones!I12&lt;&gt;""))+((Predicciones!J12=Fixture!D11)*(Predicciones!K12=Fixture!E11)*ISNUMBER(Fixture!D11)*(Predicciones!J12&lt;&gt;"")*(Predicciones!K12&lt;&gt;""))+((Predicciones!L12=Fixture!D11)*(Predicciones!M12=Fixture!E11)*ISNUMBER(Fixture!D11)*(Predicciones!L12&lt;&gt;"")*(Predicciones!M12&lt;&gt;""))+((Predicciones!N12=Fixture!D11)*(Predicciones!O12=Fixture!E11)*ISNUMBER(Fixture!D11)*(Predicciones!N12&lt;&gt;"")*(Predicciones!O12&lt;&gt;""))+((Predicciones!P12=Fixture!D11)*(Predicciones!Q12=Fixture!E11)*ISNUMBER(Fixture!D11)*(Predicciones!P12&lt;&gt;"")*(Predicciones!Q12&lt;&gt;""))+((Predicciones!R12=Fixture!D11)*(Predicciones!S12=Fixture!E11)*ISNUMBER(Fixture!D11)*(Predicciones!R12&lt;&gt;"")*(Predicciones!S12&lt;&gt;""))+((Predicciones!T12=Fixture!D11)*(Predicciones!U12=Fixture!E11)*ISNUMBER(Fixture!D11)*(Predicciones!T12&lt;&gt;"")*(Predicciones!U12&lt;&gt;""))+((Predicciones!V12=Fixture!D11)*(Predicciones!W12=Fixture!E11)*ISNUMBER(Fixture!D11)*(Predicciones!V12&lt;&gt;"")*(Predicciones!W12&lt;&gt;""))+((Predicciones!X12=Fixture!D11)*(Predicciones!Y12=Fixture!E11)*ISNUMBER(Fixture!D11)*(Predicciones!X12&lt;&gt;"")*(Predicciones!Y12&lt;&gt;""))+((Predicciones!Z12=Fixture!D11)*(Predicciones!AA12=Fixture!E11)*ISNUMBER(Fixture!D11)*(Predicciones!Z12&lt;&gt;"")*(Predicciones!AA12&lt;&gt;""))+((Predicciones!AB12=Fixture!D11)*(Predicciones!AC12=Fixture!E11)*ISNUMBER(Fixture!D11)*(Predicciones!AB12&lt;&gt;"")*(Predicciones!AC12&lt;&gt;""))+((Predicciones!AD12=Fixture!D11)*(Predicciones!AE12=Fixture!E11)*ISNUMBER(Fixture!D11)*(Predicciones!AD12&lt;&gt;"")*(Predicciones!AE12&lt;&gt;""))+((Predicciones!AF12=Fixture!D11)*(Predicciones!AG12=Fixture!E11)*ISNUMBER(Fixture!D11)*(Predicciones!AF12&lt;&gt;"")*(Predicciones!AG12&lt;&gt;"")))=1,3,1),0)+IF(((Predicciones!AF13=Fixture!D12)*(Predicciones!AG13=Fixture!E12)*ISNUMBER(Fixture!D12)*(Predicciones!AF13&lt;&gt;"")*(Predicciones!AG13&lt;&gt;"")),IF((((Predicciones!D13=Fixture!D12)*(Predicciones!E13=Fixture!E12)*ISNUMBER(Fixture!D12)*(Predicciones!D13&lt;&gt;"")*(Predicciones!E13&lt;&gt;""))+((Predicciones!F13=Fixture!D12)*(Predicciones!G13=Fixture!E12)*ISNUMBER(Fixture!D12)*(Predicciones!F13&lt;&gt;"")*(Predicciones!G13&lt;&gt;""))+((Predicciones!H13=Fixture!D12)*(Predicciones!I13=Fixture!E12)*ISNUMBER(Fixture!D12)*(Predicciones!H13&lt;&gt;"")*(Predicciones!I13&lt;&gt;""))+((Predicciones!J13=Fixture!D12)*(Predicciones!K13=Fixture!E12)*ISNUMBER(Fixture!D12)*(Predicciones!J13&lt;&gt;"")*(Predicciones!K13&lt;&gt;""))+((Predicciones!L13=Fixture!D12)*(Predicciones!M13=Fixture!E12)*ISNUMBER(Fixture!D12)*(Predicciones!L13&lt;&gt;"")*(Predicciones!M13&lt;&gt;""))+((Predicciones!N13=Fixture!D12)*(Predicciones!O13=Fixture!E12)*ISNUMBER(Fixture!D12)*(Predicciones!N13&lt;&gt;"")*(Predicciones!O13&lt;&gt;""))+((Predicciones!P13=Fixture!D12)*(Predicciones!Q13=Fixture!E12)*ISNUMBER(Fixture!D12)*(Predicciones!P13&lt;&gt;"")*(Predicciones!Q13&lt;&gt;""))+((Predicciones!R13=Fixture!D12)*(Predicciones!S13=Fixture!E12)*ISNUMBER(Fixture!D12)*(Predicciones!R13&lt;&gt;"")*(Predicciones!S13&lt;&gt;""))+((Predicciones!T13=Fixture!D12)*(Predicciones!U13=Fixture!E12)*ISNUMBER(Fixture!D12)*(Predicciones!T13&lt;&gt;"")*(Predicciones!U13&lt;&gt;""))+((Predicciones!V13=Fixture!D12)*(Predicciones!W13=Fixture!E12)*ISNUMBER(Fixture!D12)*(Predicciones!V13&lt;&gt;"")*(Predicciones!W13&lt;&gt;""))+((Predicciones!X13=Fixture!D12)*(Predicciones!Y13=Fixture!E12)*ISNUMBER(Fixture!D12)*(Predicciones!X13&lt;&gt;"")*(Predicciones!Y13&lt;&gt;""))+((Predicciones!Z13=Fixture!D12)*(Predicciones!AA13=Fixture!E12)*ISNUMBER(Fixture!D12)*(Predicciones!Z13&lt;&gt;"")*(Predicciones!AA13&lt;&gt;""))+((Predicciones!AB13=Fixture!D12)*(Predicciones!AC13=Fixture!E12)*ISNUMBER(Fixture!D12)*(Predicciones!AB13&lt;&gt;"")*(Predicciones!AC13&lt;&gt;""))+((Predicciones!AD13=Fixture!D12)*(Predicciones!AE13=Fixture!E12)*ISNUMBER(Fixture!D12)*(Predicciones!AD13&lt;&gt;"")*(Predicciones!AE13&lt;&gt;""))+((Predicciones!AF13=Fixture!D12)*(Predicciones!AG13=Fixture!E12)*ISNUMBER(Fixture!D12)*(Predicciones!AF13&lt;&gt;"")*(Predicciones!AG13&lt;&gt;"")))=1,3,1),0)+IF(((Predicciones!AF14=Fixture!D13)*(Predicciones!AG14=Fixture!E13)*ISNUMBER(Fixture!D13)*(Predicciones!AF14&lt;&gt;"")*(Predicciones!AG14&lt;&gt;"")),IF((((Predicciones!D14=Fixture!D13)*(Predicciones!E14=Fixture!E13)*ISNUMBER(Fixture!D13)*(Predicciones!D14&lt;&gt;"")*(Predicciones!E14&lt;&gt;""))+((Predicciones!F14=Fixture!D13)*(Predicciones!G14=Fixture!E13)*ISNUMBER(Fixture!D13)*(Predicciones!F14&lt;&gt;"")*(Predicciones!G14&lt;&gt;""))+((Predicciones!H14=Fixture!D13)*(Predicciones!I14=Fixture!E13)*ISNUMBER(Fixture!D13)*(Predicciones!H14&lt;&gt;"")*(Predicciones!I14&lt;&gt;""))+((Predicciones!J14=Fixture!D13)*(Predicciones!K14=Fixture!E13)*ISNUMBER(Fixture!D13)*(Predicciones!J14&lt;&gt;"")*(Predicciones!K14&lt;&gt;""))+((Predicciones!L14=Fixture!D13)*(Predicciones!M14=Fixture!E13)*ISNUMBER(Fixture!D13)*(Predicciones!L14&lt;&gt;"")*(Predicciones!M14&lt;&gt;""))+((Predicciones!N14=Fixture!D13)*(Predicciones!O14=Fixture!E13)*ISNUMBER(Fixture!D13)*(Predicciones!N14&lt;&gt;"")*(Predicciones!O14&lt;&gt;""))+((Predicciones!P14=Fixture!D13)*(Predicciones!Q14=Fixture!E13)*ISNUMBER(Fixture!D13)*(Predicciones!P14&lt;&gt;"")*(Predicciones!Q14&lt;&gt;""))+((Predicciones!R14=Fixture!D13)*(Predicciones!S14=Fixture!E13)*ISNUMBER(Fixture!D13)*(Predicciones!R14&lt;&gt;"")*(Predicciones!S14&lt;&gt;""))+((Predicciones!T14=Fixture!D13)*(Predicciones!U14=Fixture!E13)*ISNUMBER(Fixture!D13)*(Predicciones!T14&lt;&gt;"")*(Predicciones!U14&lt;&gt;""))+((Predicciones!V14=Fixture!D13)*(Predicciones!W14=Fixture!E13)*ISNUMBER(Fixture!D13)*(Predicciones!V14&lt;&gt;"")*(Predicciones!W14&lt;&gt;""))+((Predicciones!X14=Fixture!D13)*(Predicciones!Y14=Fixture!E13)*ISNUMBER(Fixture!D13)*(Predicciones!X14&lt;&gt;"")*(Predicciones!Y14&lt;&gt;""))+((Predicciones!Z14=Fixture!D13)*(Predicciones!AA14=Fixture!E13)*ISNUMBER(Fixture!D13)*(Predicciones!Z14&lt;&gt;"")*(Predicciones!AA14&lt;&gt;""))+((Predicciones!AB14=Fixture!D13)*(Predicciones!AC14=Fixture!E13)*ISNUMBER(Fixture!D13)*(Predicciones!AB14&lt;&gt;"")*(Predicciones!AC14&lt;&gt;""))+((Predicciones!AD14=Fixture!D13)*(Predicciones!AE14=Fixture!E13)*ISNUMBER(Fixture!D13)*(Predicciones!AD14&lt;&gt;"")*(Predicciones!AE14&lt;&gt;""))+((Predicciones!AF14=Fixture!D13)*(Predicciones!AG14=Fixture!E13)*ISNUMBER(Fixture!D13)*(Predicciones!AF14&lt;&gt;"")*(Predicciones!AG14&lt;&gt;"")))=1,3,1),0)+IF(((Predicciones!AF15=Fixture!D14)*(Predicciones!AG15=Fixture!E14)*ISNUMBER(Fixture!D14)*(Predicciones!AF15&lt;&gt;"")*(Predicciones!AG15&lt;&gt;"")),IF((((Predicciones!D15=Fixture!D14)*(Predicciones!E15=Fixture!E14)*ISNUMBER(Fixture!D14)*(Predicciones!D15&lt;&gt;"")*(Predicciones!E15&lt;&gt;""))+((Predicciones!F15=Fixture!D14)*(Predicciones!G15=Fixture!E14)*ISNUMBER(Fixture!D14)*(Predicciones!F15&lt;&gt;"")*(Predicciones!G15&lt;&gt;""))+((Predicciones!H15=Fixture!D14)*(Predicciones!I15=Fixture!E14)*ISNUMBER(Fixture!D14)*(Predicciones!H15&lt;&gt;"")*(Predicciones!I15&lt;&gt;""))+((Predicciones!J15=Fixture!D14)*(Predicciones!K15=Fixture!E14)*ISNUMBER(Fixture!D14)*(Predicciones!J15&lt;&gt;"")*(Predicciones!K15&lt;&gt;""))+((Predicciones!L15=Fixture!D14)*(Predicciones!M15=Fixture!E14)*ISNUMBER(Fixture!D14)*(Predicciones!L15&lt;&gt;"")*(Predicciones!M15&lt;&gt;""))+((Predicciones!N15=Fixture!D14)*(Predicciones!O15=Fixture!E14)*ISNUMBER(Fixture!D14)*(Predicciones!N15&lt;&gt;"")*(Predicciones!O15&lt;&gt;""))+((Predicciones!P15=Fixture!D14)*(Predicciones!Q15=Fixture!E14)*ISNUMBER(Fixture!D14)*(Predicciones!P15&lt;&gt;"")*(Predicciones!Q15&lt;&gt;""))+((Predicciones!R15=Fixture!D14)*(Predicciones!S15=Fixture!E14)*ISNUMBER(Fixture!D14)*(Predicciones!R15&lt;&gt;"")*(Predicciones!S15&lt;&gt;""))+((Predicciones!T15=Fixture!D14)*(Predicciones!U15=Fixture!E14)*ISNUMBER(Fixture!D14)*(Predicciones!T15&lt;&gt;"")*(Predicciones!U15&lt;&gt;""))+((Predicciones!V15=Fixture!D14)*(Predicciones!W15=Fixture!E14)*ISNUMBER(Fixture!D14)*(Predicciones!V15&lt;&gt;"")*(Predicciones!W15&lt;&gt;""))+((Predicciones!X15=Fixture!D14)*(Predicciones!Y15=Fixture!E14)*ISNUMBER(Fixture!D14)*(Predicciones!X15&lt;&gt;"")*(Predicciones!Y15&lt;&gt;""))+((Predicciones!Z15=Fixture!D14)*(Predicciones!AA15=Fixture!E14)*ISNUMBER(Fixture!D14)*(Predicciones!Z15&lt;&gt;"")*(Predicciones!AA15&lt;&gt;""))+((Predicciones!AB15=Fixture!D14)*(Predicciones!AC15=Fixture!E14)*ISNUMBER(Fixture!D14)*(Predicciones!AB15&lt;&gt;"")*(Predicciones!AC15&lt;&gt;""))+((Predicciones!AD15=Fixture!D14)*(Predicciones!AE15=Fixture!E14)*ISNUMBER(Fixture!D14)*(Predicciones!AD15&lt;&gt;"")*(Predicciones!AE15&lt;&gt;""))+((Predicciones!AF15=Fixture!D14)*(Predicciones!AG15=Fixture!E14)*ISNUMBER(Fixture!D14)*(Predicciones!AF15&lt;&gt;"")*(Predicciones!AG15&lt;&gt;"")))=1,3,1),0)+IF(((Predicciones!AF16=Fixture!D15)*(Predicciones!AG16=Fixture!E15)*ISNUMBER(Fixture!D15)*(Predicciones!AF16&lt;&gt;"")*(Predicciones!AG16&lt;&gt;"")),IF((((Predicciones!D16=Fixture!D15)*(Predicciones!E16=Fixture!E15)*ISNUMBER(Fixture!D15)*(Predicciones!D16&lt;&gt;"")*(Predicciones!E16&lt;&gt;""))+((Predicciones!F16=Fixture!D15)*(Predicciones!G16=Fixture!E15)*ISNUMBER(Fixture!D15)*(Predicciones!F16&lt;&gt;"")*(Predicciones!G16&lt;&gt;""))+((Predicciones!H16=Fixture!D15)*(Predicciones!I16=Fixture!E15)*ISNUMBER(Fixture!D15)*(Predicciones!H16&lt;&gt;"")*(Predicciones!I16&lt;&gt;""))+((Predicciones!J16=Fixture!D15)*(Predicciones!K16=Fixture!E15)*ISNUMBER(Fixture!D15)*(Predicciones!J16&lt;&gt;"")*(Predicciones!K16&lt;&gt;""))+((Predicciones!L16=Fixture!D15)*(Predicciones!M16=Fixture!E15)*ISNUMBER(Fixture!D15)*(Predicciones!L16&lt;&gt;"")*(Predicciones!M16&lt;&gt;""))+((Predicciones!N16=Fixture!D15)*(Predicciones!O16=Fixture!E15)*ISNUMBER(Fixture!D15)*(Predicciones!N16&lt;&gt;"")*(Predicciones!O16&lt;&gt;""))+((Predicciones!P16=Fixture!D15)*(Predicciones!Q16=Fixture!E15)*ISNUMBER(Fixture!D15)*(Predicciones!P16&lt;&gt;"")*(Predicciones!Q16&lt;&gt;""))+((Predicciones!R16=Fixture!D15)*(Predicciones!S16=Fixture!E15)*ISNUMBER(Fixture!D15)*(Predicciones!R16&lt;&gt;"")*(Predicciones!S16&lt;&gt;""))+((Predicciones!T16=Fixture!D15)*(Predicciones!U16=Fixture!E15)*ISNUMBER(Fixture!D15)*(Predicciones!T16&lt;&gt;"")*(Predicciones!U16&lt;&gt;""))+((Predicciones!V16=Fixture!D15)*(Predicciones!W16=Fixture!E15)*ISNUMBER(Fixture!D15)*(Predicciones!V16&lt;&gt;"")*(Predicciones!W16&lt;&gt;""))+((Predicciones!X16=Fixture!D15)*(Predicciones!Y16=Fixture!E15)*ISNUMBER(Fixture!D15)*(Predicciones!X16&lt;&gt;"")*(Predicciones!Y16&lt;&gt;""))+((Predicciones!Z16=Fixture!D15)*(Predicciones!AA16=Fixture!E15)*ISNUMBER(Fixture!D15)*(Predicciones!Z16&lt;&gt;"")*(Predicciones!AA16&lt;&gt;""))+((Predicciones!AB16=Fixture!D15)*(Predicciones!AC16=Fixture!E15)*ISNUMBER(Fixture!D15)*(Predicciones!AB16&lt;&gt;"")*(Predicciones!AC16&lt;&gt;""))+((Predicciones!AD16=Fixture!D15)*(Predicciones!AE16=Fixture!E15)*ISNUMBER(Fixture!D15)*(Predicciones!AD16&lt;&gt;"")*(Predicciones!AE16&lt;&gt;""))+((Predicciones!AF16=Fixture!D15)*(Predicciones!AG16=Fixture!E15)*ISNUMBER(Fixture!D15)*(Predicciones!AF16&lt;&gt;"")*(Predicciones!AG16&lt;&gt;"")))=1,3,1),0)+IF(((Predicciones!AF17=Fixture!D16)*(Predicciones!AG17=Fixture!E16)*ISNUMBER(Fixture!D16)*(Predicciones!AF17&lt;&gt;"")*(Predicciones!AG17&lt;&gt;"")),IF((((Predicciones!D17=Fixture!D16)*(Predicciones!E17=Fixture!E16)*ISNUMBER(Fixture!D16)*(Predicciones!D17&lt;&gt;"")*(Predicciones!E17&lt;&gt;""))+((Predicciones!F17=Fixture!D16)*(Predicciones!G17=Fixture!E16)*ISNUMBER(Fixture!D16)*(Predicciones!F17&lt;&gt;"")*(Predicciones!G17&lt;&gt;""))+((Predicciones!H17=Fixture!D16)*(Predicciones!I17=Fixture!E16)*ISNUMBER(Fixture!D16)*(Predicciones!H17&lt;&gt;"")*(Predicciones!I17&lt;&gt;""))+((Predicciones!J17=Fixture!D16)*(Predicciones!K17=Fixture!E16)*ISNUMBER(Fixture!D16)*(Predicciones!J17&lt;&gt;"")*(Predicciones!K17&lt;&gt;""))+((Predicciones!L17=Fixture!D16)*(Predicciones!M17=Fixture!E16)*ISNUMBER(Fixture!D16)*(Predicciones!L17&lt;&gt;"")*(Predicciones!M17&lt;&gt;""))+((Predicciones!N17=Fixture!D16)*(Predicciones!O17=Fixture!E16)*ISNUMBER(Fixture!D16)*(Predicciones!N17&lt;&gt;"")*(Predicciones!O17&lt;&gt;""))+((Predicciones!P17=Fixture!D16)*(Predicciones!Q17=Fixture!E16)*ISNUMBER(Fixture!D16)*(Predicciones!P17&lt;&gt;"")*(Predicciones!Q17&lt;&gt;""))+((Predicciones!R17=Fixture!D16)*(Predicciones!S17=Fixture!E16)*ISNUMBER(Fixture!D16)*(Predicciones!R17&lt;&gt;"")*(Predicciones!S17&lt;&gt;""))+((Predicciones!T17=Fixture!D16)*(Predicciones!U17=Fixture!E16)*ISNUMBER(Fixture!D16)*(Predicciones!T17&lt;&gt;"")*(Predicciones!U17&lt;&gt;""))+((Predicciones!V17=Fixture!D16)*(Predicciones!W17=Fixture!E16)*ISNUMBER(Fixture!D16)*(Predicciones!V17&lt;&gt;"")*(Predicciones!W17&lt;&gt;""))+((Predicciones!X17=Fixture!D16)*(Predicciones!Y17=Fixture!E16)*ISNUMBER(Fixture!D16)*(Predicciones!X17&lt;&gt;"")*(Predicciones!Y17&lt;&gt;""))+((Predicciones!Z17=Fixture!D16)*(Predicciones!AA17=Fixture!E16)*ISNUMBER(Fixture!D16)*(Predicciones!Z17&lt;&gt;"")*(Predicciones!AA17&lt;&gt;""))+((Predicciones!AB17=Fixture!D16)*(Predicciones!AC17=Fixture!E16)*ISNUMBER(Fixture!D16)*(Predicciones!AB17&lt;&gt;"")*(Predicciones!AC17&lt;&gt;""))+((Predicciones!AD17=Fixture!D16)*(Predicciones!AE17=Fixture!E16)*ISNUMBER(Fixture!D16)*(Predicciones!AD17&lt;&gt;"")*(Predicciones!AE17&lt;&gt;""))+((Predicciones!AF17=Fixture!D16)*(Predicciones!AG17=Fixture!E16)*ISNUMBER(Fixture!D16)*(Predicciones!AF17&lt;&gt;"")*(Predicciones!AG17&lt;&gt;"")))=1,3,1),0)+IF(((Predicciones!AF18=Fixture!D17)*(Predicciones!AG18=Fixture!E17)*ISNUMBER(Fixture!D17)*(Predicciones!AF18&lt;&gt;"")*(Predicciones!AG18&lt;&gt;"")),IF((((Predicciones!D18=Fixture!D17)*(Predicciones!E18=Fixture!E17)*ISNUMBER(Fixture!D17)*(Predicciones!D18&lt;&gt;"")*(Predicciones!E18&lt;&gt;""))+((Predicciones!F18=Fixture!D17)*(Predicciones!G18=Fixture!E17)*ISNUMBER(Fixture!D17)*(Predicciones!F18&lt;&gt;"")*(Predicciones!G18&lt;&gt;""))+((Predicciones!H18=Fixture!D17)*(Predicciones!I18=Fixture!E17)*ISNUMBER(Fixture!D17)*(Predicciones!H18&lt;&gt;"")*(Predicciones!I18&lt;&gt;""))+((Predicciones!J18=Fixture!D17)*(Predicciones!K18=Fixture!E17)*ISNUMBER(Fixture!D17)*(Predicciones!J18&lt;&gt;"")*(Predicciones!K18&lt;&gt;""))+((Predicciones!L18=Fixture!D17)*(Predicciones!M18=Fixture!E17)*ISNUMBER(Fixture!D17)*(Predicciones!L18&lt;&gt;"")*(Predicciones!M18&lt;&gt;""))+((Predicciones!N18=Fixture!D17)*(Predicciones!O18=Fixture!E17)*ISNUMBER(Fixture!D17)*(Predicciones!N18&lt;&gt;"")*(Predicciones!O18&lt;&gt;""))+((Predicciones!P18=Fixture!D17)*(Predicciones!Q18=Fixture!E17)*ISNUMBER(Fixture!D17)*(Predicciones!P18&lt;&gt;"")*(Predicciones!Q18&lt;&gt;""))+((Predicciones!R18=Fixture!D17)*(Predicciones!S18=Fixture!E17)*ISNUMBER(Fixture!D17)*(Predicciones!R18&lt;&gt;"")*(Predicciones!S18&lt;&gt;""))+((Predicciones!T18=Fixture!D17)*(Predicciones!U18=Fixture!E17)*ISNUMBER(Fixture!D17)*(Predicciones!T18&lt;&gt;"")*(Predicciones!U18&lt;&gt;""))+((Predicciones!V18=Fixture!D17)*(Predicciones!W18=Fixture!E17)*ISNUMBER(Fixture!D17)*(Predicciones!V18&lt;&gt;"")*(Predicciones!W18&lt;&gt;""))+((Predicciones!X18=Fixture!D17)*(Predicciones!Y18=Fixture!E17)*ISNUMBER(Fixture!D17)*(Predicciones!X18&lt;&gt;"")*(Predicciones!Y18&lt;&gt;""))+((Predicciones!Z18=Fixture!D17)*(Predicciones!AA18=Fixture!E17)*ISNUMBER(Fixture!D17)*(Predicciones!Z18&lt;&gt;"")*(Predicciones!AA18&lt;&gt;""))+((Predicciones!AB18=Fixture!D17)*(Predicciones!AC18=Fixture!E17)*ISNUMBER(Fixture!D17)*(Predicciones!AB18&lt;&gt;"")*(Predicciones!AC18&lt;&gt;""))+((Predicciones!AD18=Fixture!D17)*(Predicciones!AE18=Fixture!E17)*ISNUMBER(Fixture!D17)*(Predicciones!AD18&lt;&gt;"")*(Predicciones!AE18&lt;&gt;""))+((Predicciones!AF18=Fixture!D17)*(Predicciones!AG18=Fixture!E17)*ISNUMBER(Fixture!D17)*(Predicciones!AF18&lt;&gt;"")*(Predicciones!AG18&lt;&gt;"")))=1,3,1),0)+IF(((Predicciones!AF19=Fixture!D18)*(Predicciones!AG19=Fixture!E18)*ISNUMBER(Fixture!D18)*(Predicciones!AF19&lt;&gt;"")*(Predicciones!AG19&lt;&gt;"")),IF((((Predicciones!D19=Fixture!D18)*(Predicciones!E19=Fixture!E18)*ISNUMBER(Fixture!D18)*(Predicciones!D19&lt;&gt;"")*(Predicciones!E19&lt;&gt;""))+((Predicciones!F19=Fixture!D18)*(Predicciones!G19=Fixture!E18)*ISNUMBER(Fixture!D18)*(Predicciones!F19&lt;&gt;"")*(Predicciones!G19&lt;&gt;""))+((Predicciones!H19=Fixture!D18)*(Predicciones!I19=Fixture!E18)*ISNUMBER(Fixture!D18)*(Predicciones!H19&lt;&gt;"")*(Predicciones!I19&lt;&gt;""))+((Predicciones!J19=Fixture!D18)*(Predicciones!K19=Fixture!E18)*ISNUMBER(Fixture!D18)*(Predicciones!J19&lt;&gt;"")*(Predicciones!K19&lt;&gt;""))+((Predicciones!L19=Fixture!D18)*(Predicciones!M19=Fixture!E18)*ISNUMBER(Fixture!D18)*(Predicciones!L19&lt;&gt;"")*(Predicciones!M19&lt;&gt;""))+((Predicciones!N19=Fixture!D18)*(Predicciones!O19=Fixture!E18)*ISNUMBER(Fixture!D18)*(Predicciones!N19&lt;&gt;"")*(Predicciones!O19&lt;&gt;""))+((Predicciones!P19=Fixture!D18)*(Predicciones!Q19=Fixture!E18)*ISNUMBER(Fixture!D18)*(Predicciones!P19&lt;&gt;"")*(Predicciones!Q19&lt;&gt;""))+((Predicciones!R19=Fixture!D18)*(Predicciones!S19=Fixture!E18)*ISNUMBER(Fixture!D18)*(Predicciones!R19&lt;&gt;"")*(Predicciones!S19&lt;&gt;""))+((Predicciones!T19=Fixture!D18)*(Predicciones!U19=Fixture!E18)*ISNUMBER(Fixture!D18)*(Predicciones!T19&lt;&gt;"")*(Predicciones!U19&lt;&gt;""))+((Predicciones!V19=Fixture!D18)*(Predicciones!W19=Fixture!E18)*ISNUMBER(Fixture!D18)*(Predicciones!V19&lt;&gt;"")*(Predicciones!W19&lt;&gt;""))+((Predicciones!X19=Fixture!D18)*(Predicciones!Y19=Fixture!E18)*ISNUMBER(Fixture!D18)*(Predicciones!X19&lt;&gt;"")*(Predicciones!Y19&lt;&gt;""))+((Predicciones!Z19=Fixture!D18)*(Predicciones!AA19=Fixture!E18)*ISNUMBER(Fixture!D18)*(Predicciones!Z19&lt;&gt;"")*(Predicciones!AA19&lt;&gt;""))+((Predicciones!AB19=Fixture!D18)*(Predicciones!AC19=Fixture!E18)*ISNUMBER(Fixture!D18)*(Predicciones!AB19&lt;&gt;"")*(Predicciones!AC19&lt;&gt;""))+((Predicciones!AD19=Fixture!D18)*(Predicciones!AE19=Fixture!E18)*ISNUMBER(Fixture!D18)*(Predicciones!AD19&lt;&gt;"")*(Predicciones!AE19&lt;&gt;""))+((Predicciones!AF19=Fixture!D18)*(Predicciones!AG19=Fixture!E18)*ISNUMBER(Fixture!D18)*(Predicciones!AF19&lt;&gt;"")*(Predicciones!AG19&lt;&gt;"")))=1,3,1),0)+IF(((Predicciones!AF20=Fixture!D19)*(Predicciones!AG20=Fixture!E19)*ISNUMBER(Fixture!D19)*(Predicciones!AF20&lt;&gt;"")*(Predicciones!AG20&lt;&gt;"")),IF((((Predicciones!D20=Fixture!D19)*(Predicciones!E20=Fixture!E19)*ISNUMBER(Fixture!D19)*(Predicciones!D20&lt;&gt;"")*(Predicciones!E20&lt;&gt;""))+((Predicciones!F20=Fixture!D19)*(Predicciones!G20=Fixture!E19)*ISNUMBER(Fixture!D19)*(Predicciones!F20&lt;&gt;"")*(Predicciones!G20&lt;&gt;""))+((Predicciones!H20=Fixture!D19)*(Predicciones!I20=Fixture!E19)*ISNUMBER(Fixture!D19)*(Predicciones!H20&lt;&gt;"")*(Predicciones!I20&lt;&gt;""))+((Predicciones!J20=Fixture!D19)*(Predicciones!K20=Fixture!E19)*ISNUMBER(Fixture!D19)*(Predicciones!J20&lt;&gt;"")*(Predicciones!K20&lt;&gt;""))+((Predicciones!L20=Fixture!D19)*(Predicciones!M20=Fixture!E19)*ISNUMBER(Fixture!D19)*(Predicciones!L20&lt;&gt;"")*(Predicciones!M20&lt;&gt;""))+((Predicciones!N20=Fixture!D19)*(Predicciones!O20=Fixture!E19)*ISNUMBER(Fixture!D19)*(Predicciones!N20&lt;&gt;"")*(Predicciones!O20&lt;&gt;""))+((Predicciones!P20=Fixture!D19)*(Predicciones!Q20=Fixture!E19)*ISNUMBER(Fixture!D19)*(Predicciones!P20&lt;&gt;"")*(Predicciones!Q20&lt;&gt;""))+((Predicciones!R20=Fixture!D19)*(Predicciones!S20=Fixture!E19)*ISNUMBER(Fixture!D19)*(Predicciones!R20&lt;&gt;"")*(Predicciones!S20&lt;&gt;""))+((Predicciones!T20=Fixture!D19)*(Predicciones!U20=Fixture!E19)*ISNUMBER(Fixture!D19)*(Predicciones!T20&lt;&gt;"")*(Predicciones!U20&lt;&gt;""))+((Predicciones!V20=Fixture!D19)*(Predicciones!W20=Fixture!E19)*ISNUMBER(Fixture!D19)*(Predicciones!V20&lt;&gt;"")*(Predicciones!W20&lt;&gt;""))+((Predicciones!X20=Fixture!D19)*(Predicciones!Y20=Fixture!E19)*ISNUMBER(Fixture!D19)*(Predicciones!X20&lt;&gt;"")*(Predicciones!Y20&lt;&gt;""))+((Predicciones!Z20=Fixture!D19)*(Predicciones!AA20=Fixture!E19)*ISNUMBER(Fixture!D19)*(Predicciones!Z20&lt;&gt;"")*(Predicciones!AA20&lt;&gt;""))+((Predicciones!AB20=Fixture!D19)*(Predicciones!AC20=Fixture!E19)*ISNUMBER(Fixture!D19)*(Predicciones!AB20&lt;&gt;"")*(Predicciones!AC20&lt;&gt;""))+((Predicciones!AD20=Fixture!D19)*(Predicciones!AE20=Fixture!E19)*ISNUMBER(Fixture!D19)*(Predicciones!AD20&lt;&gt;"")*(Predicciones!AE20&lt;&gt;""))+((Predicciones!AF20=Fixture!D19)*(Predicciones!AG20=Fixture!E19)*ISNUMBER(Fixture!D19)*(Predicciones!AF20&lt;&gt;"")*(Predicciones!AG20&lt;&gt;"")))=1,3,1),0)+IF(((Predicciones!AF21=Fixture!D20)*(Predicciones!AG21=Fixture!E20)*ISNUMBER(Fixture!D20)*(Predicciones!AF21&lt;&gt;"")*(Predicciones!AG21&lt;&gt;"")),IF((((Predicciones!D21=Fixture!D20)*(Predicciones!E21=Fixture!E20)*ISNUMBER(Fixture!D20)*(Predicciones!D21&lt;&gt;"")*(Predicciones!E21&lt;&gt;""))+((Predicciones!F21=Fixture!D20)*(Predicciones!G21=Fixture!E20)*ISNUMBER(Fixture!D20)*(Predicciones!F21&lt;&gt;"")*(Predicciones!G21&lt;&gt;""))+((Predicciones!H21=Fixture!D20)*(Predicciones!I21=Fixture!E20)*ISNUMBER(Fixture!D20)*(Predicciones!H21&lt;&gt;"")*(Predicciones!I21&lt;&gt;""))+((Predicciones!J21=Fixture!D20)*(Predicciones!K21=Fixture!E20)*ISNUMBER(Fixture!D20)*(Predicciones!J21&lt;&gt;"")*(Predicciones!K21&lt;&gt;""))+((Predicciones!L21=Fixture!D20)*(Predicciones!M21=Fixture!E20)*ISNUMBER(Fixture!D20)*(Predicciones!L21&lt;&gt;"")*(Predicciones!M21&lt;&gt;""))+((Predicciones!N21=Fixture!D20)*(Predicciones!O21=Fixture!E20)*ISNUMBER(Fixture!D20)*(Predicciones!N21&lt;&gt;"")*(Predicciones!O21&lt;&gt;""))+((Predicciones!P21=Fixture!D20)*(Predicciones!Q21=Fixture!E20)*ISNUMBER(Fixture!D20)*(Predicciones!P21&lt;&gt;""))),TRUE()))</f>
        <v>0</v>
      </c>
      <c r="D19" s="7" t="n">
        <f aca="false">RANK(C19,C5:C19,0)</f>
        <v>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24"/>
    <col collapsed="false" customWidth="true" hidden="false" outlineLevel="0" max="7" min="7" style="0" width="10"/>
  </cols>
  <sheetData>
    <row r="1" customFormat="false" ht="31.5" hidden="false" customHeight="true" outlineLevel="0" collapsed="false">
      <c r="A1" s="12" t="s">
        <v>21</v>
      </c>
      <c r="B1" s="12"/>
      <c r="C1" s="12"/>
      <c r="D1" s="12"/>
      <c r="E1" s="12"/>
      <c r="F1" s="12"/>
      <c r="G1" s="12"/>
    </row>
    <row r="2" customFormat="false" ht="18" hidden="false" customHeight="true" outlineLevel="0" collapsed="false">
      <c r="A2" s="2" t="s">
        <v>22</v>
      </c>
      <c r="B2" s="2"/>
      <c r="C2" s="2"/>
      <c r="D2" s="2"/>
      <c r="E2" s="2"/>
      <c r="F2" s="2"/>
      <c r="G2" s="2"/>
    </row>
    <row r="3" customFormat="false" ht="6" hidden="false" customHeight="true" outlineLevel="0" collapsed="false"/>
    <row r="4" customFormat="false" ht="27.75" hidden="false" customHeight="true" outlineLevel="0" collapsed="false">
      <c r="A4" s="13" t="s">
        <v>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</row>
    <row r="5" customFormat="false" ht="19.5" hidden="false" customHeight="true" outlineLevel="0" collapsed="false">
      <c r="A5" s="14" t="n">
        <v>1</v>
      </c>
      <c r="B5" s="15" t="s">
        <v>29</v>
      </c>
      <c r="C5" s="14" t="s">
        <v>30</v>
      </c>
      <c r="D5" s="16"/>
      <c r="E5" s="16"/>
      <c r="F5" s="14" t="s">
        <v>31</v>
      </c>
      <c r="G5" s="14" t="s">
        <v>32</v>
      </c>
    </row>
    <row r="6" customFormat="false" ht="19.5" hidden="false" customHeight="true" outlineLevel="0" collapsed="false">
      <c r="A6" s="17" t="n">
        <v>2</v>
      </c>
      <c r="B6" s="18" t="s">
        <v>29</v>
      </c>
      <c r="C6" s="17" t="s">
        <v>33</v>
      </c>
      <c r="D6" s="16"/>
      <c r="E6" s="16"/>
      <c r="F6" s="17" t="s">
        <v>34</v>
      </c>
      <c r="G6" s="17" t="s">
        <v>32</v>
      </c>
    </row>
    <row r="7" customFormat="false" ht="19.5" hidden="false" customHeight="true" outlineLevel="0" collapsed="false">
      <c r="A7" s="14" t="n">
        <v>3</v>
      </c>
      <c r="B7" s="15" t="s">
        <v>29</v>
      </c>
      <c r="C7" s="14" t="s">
        <v>34</v>
      </c>
      <c r="D7" s="16"/>
      <c r="E7" s="16"/>
      <c r="F7" s="14" t="s">
        <v>31</v>
      </c>
      <c r="G7" s="14" t="s">
        <v>35</v>
      </c>
    </row>
    <row r="8" customFormat="false" ht="19.5" hidden="false" customHeight="true" outlineLevel="0" collapsed="false">
      <c r="A8" s="17" t="n">
        <v>4</v>
      </c>
      <c r="B8" s="18" t="s">
        <v>29</v>
      </c>
      <c r="C8" s="17" t="s">
        <v>30</v>
      </c>
      <c r="D8" s="16"/>
      <c r="E8" s="16"/>
      <c r="F8" s="17" t="s">
        <v>33</v>
      </c>
      <c r="G8" s="17" t="s">
        <v>35</v>
      </c>
    </row>
    <row r="9" customFormat="false" ht="19.5" hidden="false" customHeight="true" outlineLevel="0" collapsed="false">
      <c r="A9" s="14" t="n">
        <v>5</v>
      </c>
      <c r="B9" s="15" t="s">
        <v>29</v>
      </c>
      <c r="C9" s="14" t="s">
        <v>34</v>
      </c>
      <c r="D9" s="16"/>
      <c r="E9" s="16"/>
      <c r="F9" s="14" t="s">
        <v>30</v>
      </c>
      <c r="G9" s="14" t="s">
        <v>36</v>
      </c>
    </row>
    <row r="10" customFormat="false" ht="19.5" hidden="false" customHeight="true" outlineLevel="0" collapsed="false">
      <c r="A10" s="17" t="n">
        <v>6</v>
      </c>
      <c r="B10" s="18" t="s">
        <v>29</v>
      </c>
      <c r="C10" s="17" t="s">
        <v>31</v>
      </c>
      <c r="D10" s="16"/>
      <c r="E10" s="16"/>
      <c r="F10" s="17" t="s">
        <v>33</v>
      </c>
      <c r="G10" s="17" t="s">
        <v>36</v>
      </c>
    </row>
    <row r="11" customFormat="false" ht="19.5" hidden="false" customHeight="true" outlineLevel="0" collapsed="false">
      <c r="A11" s="14" t="n">
        <v>7</v>
      </c>
      <c r="B11" s="19" t="s">
        <v>37</v>
      </c>
      <c r="C11" s="14" t="s">
        <v>38</v>
      </c>
      <c r="D11" s="16"/>
      <c r="E11" s="16"/>
      <c r="F11" s="14" t="s">
        <v>39</v>
      </c>
      <c r="G11" s="14" t="s">
        <v>40</v>
      </c>
    </row>
    <row r="12" customFormat="false" ht="19.5" hidden="false" customHeight="true" outlineLevel="0" collapsed="false">
      <c r="A12" s="17" t="n">
        <v>8</v>
      </c>
      <c r="B12" s="20" t="s">
        <v>37</v>
      </c>
      <c r="C12" s="17" t="s">
        <v>41</v>
      </c>
      <c r="D12" s="16"/>
      <c r="E12" s="16"/>
      <c r="F12" s="17" t="s">
        <v>42</v>
      </c>
      <c r="G12" s="17" t="s">
        <v>43</v>
      </c>
    </row>
    <row r="13" customFormat="false" ht="19.5" hidden="false" customHeight="true" outlineLevel="0" collapsed="false">
      <c r="A13" s="14" t="n">
        <v>9</v>
      </c>
      <c r="B13" s="19" t="s">
        <v>37</v>
      </c>
      <c r="C13" s="14" t="s">
        <v>42</v>
      </c>
      <c r="D13" s="16"/>
      <c r="E13" s="16"/>
      <c r="F13" s="14" t="s">
        <v>39</v>
      </c>
      <c r="G13" s="14" t="s">
        <v>35</v>
      </c>
    </row>
    <row r="14" customFormat="false" ht="19.5" hidden="false" customHeight="true" outlineLevel="0" collapsed="false">
      <c r="A14" s="17" t="n">
        <v>10</v>
      </c>
      <c r="B14" s="20" t="s">
        <v>37</v>
      </c>
      <c r="C14" s="17" t="s">
        <v>38</v>
      </c>
      <c r="D14" s="16"/>
      <c r="E14" s="16"/>
      <c r="F14" s="17" t="s">
        <v>41</v>
      </c>
      <c r="G14" s="17" t="s">
        <v>35</v>
      </c>
    </row>
    <row r="15" customFormat="false" ht="19.5" hidden="false" customHeight="true" outlineLevel="0" collapsed="false">
      <c r="A15" s="14" t="n">
        <v>11</v>
      </c>
      <c r="B15" s="19" t="s">
        <v>37</v>
      </c>
      <c r="C15" s="14" t="s">
        <v>42</v>
      </c>
      <c r="D15" s="16"/>
      <c r="E15" s="16"/>
      <c r="F15" s="14" t="s">
        <v>38</v>
      </c>
      <c r="G15" s="14" t="s">
        <v>36</v>
      </c>
    </row>
    <row r="16" customFormat="false" ht="19.5" hidden="false" customHeight="true" outlineLevel="0" collapsed="false">
      <c r="A16" s="17" t="n">
        <v>12</v>
      </c>
      <c r="B16" s="20" t="s">
        <v>37</v>
      </c>
      <c r="C16" s="17" t="s">
        <v>39</v>
      </c>
      <c r="D16" s="16"/>
      <c r="E16" s="16"/>
      <c r="F16" s="17" t="s">
        <v>41</v>
      </c>
      <c r="G16" s="17" t="s">
        <v>36</v>
      </c>
    </row>
    <row r="17" customFormat="false" ht="19.5" hidden="false" customHeight="true" outlineLevel="0" collapsed="false">
      <c r="A17" s="14" t="n">
        <v>13</v>
      </c>
      <c r="B17" s="21" t="s">
        <v>44</v>
      </c>
      <c r="C17" s="14" t="s">
        <v>45</v>
      </c>
      <c r="D17" s="16"/>
      <c r="E17" s="16"/>
      <c r="F17" s="14" t="s">
        <v>46</v>
      </c>
      <c r="G17" s="14" t="s">
        <v>43</v>
      </c>
    </row>
    <row r="18" customFormat="false" ht="19.5" hidden="false" customHeight="true" outlineLevel="0" collapsed="false">
      <c r="A18" s="17" t="n">
        <v>14</v>
      </c>
      <c r="B18" s="22" t="s">
        <v>44</v>
      </c>
      <c r="C18" s="17" t="s">
        <v>47</v>
      </c>
      <c r="D18" s="16"/>
      <c r="E18" s="16"/>
      <c r="F18" s="17" t="s">
        <v>48</v>
      </c>
      <c r="G18" s="17" t="s">
        <v>43</v>
      </c>
    </row>
    <row r="19" customFormat="false" ht="19.5" hidden="false" customHeight="true" outlineLevel="0" collapsed="false">
      <c r="A19" s="14" t="n">
        <v>15</v>
      </c>
      <c r="B19" s="21" t="s">
        <v>44</v>
      </c>
      <c r="C19" s="14" t="s">
        <v>48</v>
      </c>
      <c r="D19" s="16"/>
      <c r="E19" s="16"/>
      <c r="F19" s="14" t="s">
        <v>46</v>
      </c>
      <c r="G19" s="14" t="s">
        <v>49</v>
      </c>
    </row>
    <row r="20" customFormat="false" ht="19.5" hidden="false" customHeight="true" outlineLevel="0" collapsed="false">
      <c r="A20" s="17" t="n">
        <v>16</v>
      </c>
      <c r="B20" s="22" t="s">
        <v>44</v>
      </c>
      <c r="C20" s="17" t="s">
        <v>45</v>
      </c>
      <c r="D20" s="16"/>
      <c r="E20" s="16"/>
      <c r="F20" s="17" t="s">
        <v>47</v>
      </c>
      <c r="G20" s="17" t="s">
        <v>49</v>
      </c>
    </row>
    <row r="21" customFormat="false" ht="19.5" hidden="false" customHeight="true" outlineLevel="0" collapsed="false">
      <c r="A21" s="14" t="n">
        <v>17</v>
      </c>
      <c r="B21" s="21" t="s">
        <v>44</v>
      </c>
      <c r="C21" s="14" t="s">
        <v>48</v>
      </c>
      <c r="D21" s="16"/>
      <c r="E21" s="16"/>
      <c r="F21" s="14" t="s">
        <v>45</v>
      </c>
      <c r="G21" s="14" t="s">
        <v>36</v>
      </c>
    </row>
    <row r="22" customFormat="false" ht="19.5" hidden="false" customHeight="true" outlineLevel="0" collapsed="false">
      <c r="A22" s="17" t="n">
        <v>18</v>
      </c>
      <c r="B22" s="22" t="s">
        <v>44</v>
      </c>
      <c r="C22" s="17" t="s">
        <v>46</v>
      </c>
      <c r="D22" s="16"/>
      <c r="E22" s="16"/>
      <c r="F22" s="17" t="s">
        <v>47</v>
      </c>
      <c r="G22" s="17" t="s">
        <v>36</v>
      </c>
    </row>
    <row r="23" customFormat="false" ht="19.5" hidden="false" customHeight="true" outlineLevel="0" collapsed="false">
      <c r="A23" s="14" t="n">
        <v>19</v>
      </c>
      <c r="B23" s="23" t="s">
        <v>50</v>
      </c>
      <c r="C23" s="14" t="s">
        <v>51</v>
      </c>
      <c r="D23" s="16"/>
      <c r="E23" s="16"/>
      <c r="F23" s="14" t="s">
        <v>52</v>
      </c>
      <c r="G23" s="14" t="s">
        <v>40</v>
      </c>
    </row>
    <row r="24" customFormat="false" ht="19.5" hidden="false" customHeight="true" outlineLevel="0" collapsed="false">
      <c r="A24" s="17" t="n">
        <v>20</v>
      </c>
      <c r="B24" s="24" t="s">
        <v>50</v>
      </c>
      <c r="C24" s="17" t="s">
        <v>53</v>
      </c>
      <c r="D24" s="16"/>
      <c r="E24" s="16"/>
      <c r="F24" s="17" t="s">
        <v>54</v>
      </c>
      <c r="G24" s="17" t="s">
        <v>43</v>
      </c>
    </row>
    <row r="25" customFormat="false" ht="19.5" hidden="false" customHeight="true" outlineLevel="0" collapsed="false">
      <c r="A25" s="14" t="n">
        <v>21</v>
      </c>
      <c r="B25" s="23" t="s">
        <v>50</v>
      </c>
      <c r="C25" s="14" t="s">
        <v>51</v>
      </c>
      <c r="D25" s="16"/>
      <c r="E25" s="16"/>
      <c r="F25" s="14" t="s">
        <v>53</v>
      </c>
      <c r="G25" s="14" t="s">
        <v>49</v>
      </c>
    </row>
    <row r="26" customFormat="false" ht="19.5" hidden="false" customHeight="true" outlineLevel="0" collapsed="false">
      <c r="A26" s="17" t="n">
        <v>22</v>
      </c>
      <c r="B26" s="24" t="s">
        <v>50</v>
      </c>
      <c r="C26" s="17" t="s">
        <v>54</v>
      </c>
      <c r="D26" s="16"/>
      <c r="E26" s="16"/>
      <c r="F26" s="17" t="s">
        <v>52</v>
      </c>
      <c r="G26" s="17" t="s">
        <v>49</v>
      </c>
    </row>
    <row r="27" customFormat="false" ht="19.5" hidden="false" customHeight="true" outlineLevel="0" collapsed="false">
      <c r="A27" s="14" t="n">
        <v>23</v>
      </c>
      <c r="B27" s="23" t="s">
        <v>50</v>
      </c>
      <c r="C27" s="14" t="s">
        <v>54</v>
      </c>
      <c r="D27" s="16"/>
      <c r="E27" s="16"/>
      <c r="F27" s="14" t="s">
        <v>51</v>
      </c>
      <c r="G27" s="14" t="s">
        <v>55</v>
      </c>
    </row>
    <row r="28" customFormat="false" ht="19.5" hidden="false" customHeight="true" outlineLevel="0" collapsed="false">
      <c r="A28" s="17" t="n">
        <v>24</v>
      </c>
      <c r="B28" s="24" t="s">
        <v>50</v>
      </c>
      <c r="C28" s="17" t="s">
        <v>52</v>
      </c>
      <c r="D28" s="16"/>
      <c r="E28" s="16"/>
      <c r="F28" s="17" t="s">
        <v>53</v>
      </c>
      <c r="G28" s="17" t="s">
        <v>55</v>
      </c>
    </row>
    <row r="29" customFormat="false" ht="19.5" hidden="false" customHeight="true" outlineLevel="0" collapsed="false">
      <c r="A29" s="14" t="n">
        <v>25</v>
      </c>
      <c r="B29" s="25" t="s">
        <v>56</v>
      </c>
      <c r="C29" s="14" t="s">
        <v>57</v>
      </c>
      <c r="D29" s="16"/>
      <c r="E29" s="16"/>
      <c r="F29" s="14" t="s">
        <v>58</v>
      </c>
      <c r="G29" s="14" t="s">
        <v>59</v>
      </c>
    </row>
    <row r="30" customFormat="false" ht="19.5" hidden="false" customHeight="true" outlineLevel="0" collapsed="false">
      <c r="A30" s="17" t="n">
        <v>26</v>
      </c>
      <c r="B30" s="26" t="s">
        <v>56</v>
      </c>
      <c r="C30" s="17" t="s">
        <v>60</v>
      </c>
      <c r="D30" s="16"/>
      <c r="E30" s="16"/>
      <c r="F30" s="17" t="s">
        <v>61</v>
      </c>
      <c r="G30" s="17" t="s">
        <v>59</v>
      </c>
    </row>
    <row r="31" customFormat="false" ht="19.5" hidden="false" customHeight="true" outlineLevel="0" collapsed="false">
      <c r="A31" s="14" t="n">
        <v>27</v>
      </c>
      <c r="B31" s="25" t="s">
        <v>56</v>
      </c>
      <c r="C31" s="14" t="s">
        <v>57</v>
      </c>
      <c r="D31" s="16"/>
      <c r="E31" s="16"/>
      <c r="F31" s="14" t="s">
        <v>60</v>
      </c>
      <c r="G31" s="14" t="s">
        <v>62</v>
      </c>
    </row>
    <row r="32" customFormat="false" ht="19.5" hidden="false" customHeight="true" outlineLevel="0" collapsed="false">
      <c r="A32" s="17" t="n">
        <v>28</v>
      </c>
      <c r="B32" s="26" t="s">
        <v>56</v>
      </c>
      <c r="C32" s="17" t="s">
        <v>61</v>
      </c>
      <c r="D32" s="16"/>
      <c r="E32" s="16"/>
      <c r="F32" s="17" t="s">
        <v>58</v>
      </c>
      <c r="G32" s="17" t="s">
        <v>62</v>
      </c>
    </row>
    <row r="33" customFormat="false" ht="19.5" hidden="false" customHeight="true" outlineLevel="0" collapsed="false">
      <c r="A33" s="14" t="n">
        <v>29</v>
      </c>
      <c r="B33" s="25" t="s">
        <v>56</v>
      </c>
      <c r="C33" s="14" t="s">
        <v>61</v>
      </c>
      <c r="D33" s="16"/>
      <c r="E33" s="16"/>
      <c r="F33" s="14" t="s">
        <v>57</v>
      </c>
      <c r="G33" s="14" t="s">
        <v>55</v>
      </c>
    </row>
    <row r="34" customFormat="false" ht="19.5" hidden="false" customHeight="true" outlineLevel="0" collapsed="false">
      <c r="A34" s="17" t="n">
        <v>30</v>
      </c>
      <c r="B34" s="26" t="s">
        <v>56</v>
      </c>
      <c r="C34" s="17" t="s">
        <v>58</v>
      </c>
      <c r="D34" s="16"/>
      <c r="E34" s="16"/>
      <c r="F34" s="17" t="s">
        <v>60</v>
      </c>
      <c r="G34" s="17" t="s">
        <v>55</v>
      </c>
    </row>
    <row r="35" customFormat="false" ht="19.5" hidden="false" customHeight="true" outlineLevel="0" collapsed="false">
      <c r="A35" s="14" t="n">
        <v>31</v>
      </c>
      <c r="B35" s="27" t="s">
        <v>63</v>
      </c>
      <c r="C35" s="14" t="s">
        <v>64</v>
      </c>
      <c r="D35" s="16"/>
      <c r="E35" s="16"/>
      <c r="F35" s="14" t="s">
        <v>65</v>
      </c>
      <c r="G35" s="14" t="s">
        <v>59</v>
      </c>
    </row>
    <row r="36" customFormat="false" ht="19.5" hidden="false" customHeight="true" outlineLevel="0" collapsed="false">
      <c r="A36" s="17" t="n">
        <v>32</v>
      </c>
      <c r="B36" s="28" t="s">
        <v>63</v>
      </c>
      <c r="C36" s="17" t="s">
        <v>66</v>
      </c>
      <c r="D36" s="16"/>
      <c r="E36" s="16"/>
      <c r="F36" s="17" t="s">
        <v>67</v>
      </c>
      <c r="G36" s="17" t="s">
        <v>59</v>
      </c>
    </row>
    <row r="37" customFormat="false" ht="19.5" hidden="false" customHeight="true" outlineLevel="0" collapsed="false">
      <c r="A37" s="14" t="n">
        <v>33</v>
      </c>
      <c r="B37" s="27" t="s">
        <v>63</v>
      </c>
      <c r="C37" s="14" t="s">
        <v>64</v>
      </c>
      <c r="D37" s="16"/>
      <c r="E37" s="16"/>
      <c r="F37" s="14" t="s">
        <v>66</v>
      </c>
      <c r="G37" s="14" t="s">
        <v>62</v>
      </c>
    </row>
    <row r="38" customFormat="false" ht="19.5" hidden="false" customHeight="true" outlineLevel="0" collapsed="false">
      <c r="A38" s="17" t="n">
        <v>34</v>
      </c>
      <c r="B38" s="28" t="s">
        <v>63</v>
      </c>
      <c r="C38" s="17" t="s">
        <v>67</v>
      </c>
      <c r="D38" s="16"/>
      <c r="E38" s="16"/>
      <c r="F38" s="17" t="s">
        <v>65</v>
      </c>
      <c r="G38" s="17" t="s">
        <v>62</v>
      </c>
    </row>
    <row r="39" customFormat="false" ht="19.5" hidden="false" customHeight="true" outlineLevel="0" collapsed="false">
      <c r="A39" s="14" t="n">
        <v>35</v>
      </c>
      <c r="B39" s="27" t="s">
        <v>63</v>
      </c>
      <c r="C39" s="14" t="s">
        <v>65</v>
      </c>
      <c r="D39" s="16"/>
      <c r="E39" s="16"/>
      <c r="F39" s="14" t="s">
        <v>66</v>
      </c>
      <c r="G39" s="14" t="s">
        <v>55</v>
      </c>
    </row>
    <row r="40" customFormat="false" ht="19.5" hidden="false" customHeight="true" outlineLevel="0" collapsed="false">
      <c r="A40" s="17" t="n">
        <v>36</v>
      </c>
      <c r="B40" s="28" t="s">
        <v>63</v>
      </c>
      <c r="C40" s="17" t="s">
        <v>67</v>
      </c>
      <c r="D40" s="16"/>
      <c r="E40" s="16"/>
      <c r="F40" s="17" t="s">
        <v>64</v>
      </c>
      <c r="G40" s="17" t="s">
        <v>55</v>
      </c>
    </row>
    <row r="41" customFormat="false" ht="19.5" hidden="false" customHeight="true" outlineLevel="0" collapsed="false">
      <c r="A41" s="14" t="n">
        <v>37</v>
      </c>
      <c r="B41" s="29" t="s">
        <v>68</v>
      </c>
      <c r="C41" s="14" t="s">
        <v>69</v>
      </c>
      <c r="D41" s="16"/>
      <c r="E41" s="16"/>
      <c r="F41" s="14" t="s">
        <v>70</v>
      </c>
      <c r="G41" s="14" t="s">
        <v>71</v>
      </c>
    </row>
    <row r="42" customFormat="false" ht="19.5" hidden="false" customHeight="true" outlineLevel="0" collapsed="false">
      <c r="A42" s="17" t="n">
        <v>38</v>
      </c>
      <c r="B42" s="30" t="s">
        <v>68</v>
      </c>
      <c r="C42" s="17" t="s">
        <v>72</v>
      </c>
      <c r="D42" s="16"/>
      <c r="E42" s="16"/>
      <c r="F42" s="17" t="s">
        <v>73</v>
      </c>
      <c r="G42" s="17" t="s">
        <v>71</v>
      </c>
    </row>
    <row r="43" customFormat="false" ht="19.5" hidden="false" customHeight="true" outlineLevel="0" collapsed="false">
      <c r="A43" s="14" t="n">
        <v>39</v>
      </c>
      <c r="B43" s="29" t="s">
        <v>68</v>
      </c>
      <c r="C43" s="14" t="s">
        <v>69</v>
      </c>
      <c r="D43" s="16"/>
      <c r="E43" s="16"/>
      <c r="F43" s="14" t="s">
        <v>72</v>
      </c>
      <c r="G43" s="14" t="s">
        <v>74</v>
      </c>
    </row>
    <row r="44" customFormat="false" ht="19.5" hidden="false" customHeight="true" outlineLevel="0" collapsed="false">
      <c r="A44" s="17" t="n">
        <v>40</v>
      </c>
      <c r="B44" s="30" t="s">
        <v>68</v>
      </c>
      <c r="C44" s="17" t="s">
        <v>73</v>
      </c>
      <c r="D44" s="16"/>
      <c r="E44" s="16"/>
      <c r="F44" s="17" t="s">
        <v>70</v>
      </c>
      <c r="G44" s="17" t="s">
        <v>74</v>
      </c>
    </row>
    <row r="45" customFormat="false" ht="19.5" hidden="false" customHeight="true" outlineLevel="0" collapsed="false">
      <c r="A45" s="14" t="n">
        <v>41</v>
      </c>
      <c r="B45" s="29" t="s">
        <v>68</v>
      </c>
      <c r="C45" s="14" t="s">
        <v>70</v>
      </c>
      <c r="D45" s="16"/>
      <c r="E45" s="16"/>
      <c r="F45" s="14" t="s">
        <v>72</v>
      </c>
      <c r="G45" s="14" t="s">
        <v>75</v>
      </c>
    </row>
    <row r="46" customFormat="false" ht="19.5" hidden="false" customHeight="true" outlineLevel="0" collapsed="false">
      <c r="A46" s="17" t="n">
        <v>42</v>
      </c>
      <c r="B46" s="30" t="s">
        <v>68</v>
      </c>
      <c r="C46" s="17" t="s">
        <v>73</v>
      </c>
      <c r="D46" s="16"/>
      <c r="E46" s="16"/>
      <c r="F46" s="17" t="s">
        <v>69</v>
      </c>
      <c r="G46" s="17" t="s">
        <v>75</v>
      </c>
    </row>
    <row r="47" customFormat="false" ht="19.5" hidden="false" customHeight="true" outlineLevel="0" collapsed="false">
      <c r="A47" s="14" t="n">
        <v>43</v>
      </c>
      <c r="B47" s="31" t="s">
        <v>76</v>
      </c>
      <c r="C47" s="14" t="s">
        <v>77</v>
      </c>
      <c r="D47" s="16"/>
      <c r="E47" s="16"/>
      <c r="F47" s="14" t="s">
        <v>78</v>
      </c>
      <c r="G47" s="14" t="s">
        <v>71</v>
      </c>
    </row>
    <row r="48" customFormat="false" ht="19.5" hidden="false" customHeight="true" outlineLevel="0" collapsed="false">
      <c r="A48" s="17" t="n">
        <v>44</v>
      </c>
      <c r="B48" s="32" t="s">
        <v>76</v>
      </c>
      <c r="C48" s="17" t="s">
        <v>79</v>
      </c>
      <c r="D48" s="16"/>
      <c r="E48" s="16"/>
      <c r="F48" s="17" t="s">
        <v>80</v>
      </c>
      <c r="G48" s="17" t="s">
        <v>71</v>
      </c>
    </row>
    <row r="49" customFormat="false" ht="19.5" hidden="false" customHeight="true" outlineLevel="0" collapsed="false">
      <c r="A49" s="14" t="n">
        <v>45</v>
      </c>
      <c r="B49" s="31" t="s">
        <v>76</v>
      </c>
      <c r="C49" s="14" t="s">
        <v>77</v>
      </c>
      <c r="D49" s="16"/>
      <c r="E49" s="16"/>
      <c r="F49" s="14" t="s">
        <v>79</v>
      </c>
      <c r="G49" s="14" t="s">
        <v>74</v>
      </c>
    </row>
    <row r="50" customFormat="false" ht="19.5" hidden="false" customHeight="true" outlineLevel="0" collapsed="false">
      <c r="A50" s="17" t="n">
        <v>46</v>
      </c>
      <c r="B50" s="32" t="s">
        <v>76</v>
      </c>
      <c r="C50" s="17" t="s">
        <v>80</v>
      </c>
      <c r="D50" s="16"/>
      <c r="E50" s="16"/>
      <c r="F50" s="17" t="s">
        <v>78</v>
      </c>
      <c r="G50" s="17" t="s">
        <v>74</v>
      </c>
    </row>
    <row r="51" customFormat="false" ht="19.5" hidden="false" customHeight="true" outlineLevel="0" collapsed="false">
      <c r="A51" s="14" t="n">
        <v>47</v>
      </c>
      <c r="B51" s="31" t="s">
        <v>76</v>
      </c>
      <c r="C51" s="14" t="s">
        <v>78</v>
      </c>
      <c r="D51" s="16"/>
      <c r="E51" s="16"/>
      <c r="F51" s="14" t="s">
        <v>79</v>
      </c>
      <c r="G51" s="14" t="s">
        <v>75</v>
      </c>
    </row>
    <row r="52" customFormat="false" ht="19.5" hidden="false" customHeight="true" outlineLevel="0" collapsed="false">
      <c r="A52" s="17" t="n">
        <v>48</v>
      </c>
      <c r="B52" s="32" t="s">
        <v>76</v>
      </c>
      <c r="C52" s="17" t="s">
        <v>80</v>
      </c>
      <c r="D52" s="16"/>
      <c r="E52" s="16"/>
      <c r="F52" s="17" t="s">
        <v>77</v>
      </c>
      <c r="G52" s="17" t="s">
        <v>75</v>
      </c>
    </row>
    <row r="53" customFormat="false" ht="19.5" hidden="false" customHeight="true" outlineLevel="0" collapsed="false">
      <c r="A53" s="14" t="n">
        <v>49</v>
      </c>
      <c r="B53" s="33" t="s">
        <v>81</v>
      </c>
      <c r="C53" s="14" t="s">
        <v>82</v>
      </c>
      <c r="D53" s="16"/>
      <c r="E53" s="16"/>
      <c r="F53" s="14" t="s">
        <v>83</v>
      </c>
      <c r="G53" s="14" t="s">
        <v>84</v>
      </c>
    </row>
    <row r="54" customFormat="false" ht="19.5" hidden="false" customHeight="true" outlineLevel="0" collapsed="false">
      <c r="A54" s="17" t="n">
        <v>50</v>
      </c>
      <c r="B54" s="34" t="s">
        <v>81</v>
      </c>
      <c r="C54" s="17" t="s">
        <v>85</v>
      </c>
      <c r="D54" s="16"/>
      <c r="E54" s="16"/>
      <c r="F54" s="17" t="s">
        <v>86</v>
      </c>
      <c r="G54" s="17" t="s">
        <v>84</v>
      </c>
    </row>
    <row r="55" customFormat="false" ht="19.5" hidden="false" customHeight="true" outlineLevel="0" collapsed="false">
      <c r="A55" s="14" t="n">
        <v>51</v>
      </c>
      <c r="B55" s="33" t="s">
        <v>81</v>
      </c>
      <c r="C55" s="14" t="s">
        <v>82</v>
      </c>
      <c r="D55" s="16"/>
      <c r="E55" s="16"/>
      <c r="F55" s="14" t="s">
        <v>85</v>
      </c>
      <c r="G55" s="14" t="s">
        <v>87</v>
      </c>
    </row>
    <row r="56" customFormat="false" ht="19.5" hidden="false" customHeight="true" outlineLevel="0" collapsed="false">
      <c r="A56" s="17" t="n">
        <v>52</v>
      </c>
      <c r="B56" s="34" t="s">
        <v>81</v>
      </c>
      <c r="C56" s="17" t="s">
        <v>86</v>
      </c>
      <c r="D56" s="16"/>
      <c r="E56" s="16"/>
      <c r="F56" s="17" t="s">
        <v>83</v>
      </c>
      <c r="G56" s="17" t="s">
        <v>87</v>
      </c>
    </row>
    <row r="57" customFormat="false" ht="19.5" hidden="false" customHeight="true" outlineLevel="0" collapsed="false">
      <c r="A57" s="14" t="n">
        <v>53</v>
      </c>
      <c r="B57" s="33" t="s">
        <v>81</v>
      </c>
      <c r="C57" s="14" t="s">
        <v>86</v>
      </c>
      <c r="D57" s="16"/>
      <c r="E57" s="16"/>
      <c r="F57" s="14" t="s">
        <v>82</v>
      </c>
      <c r="G57" s="14" t="s">
        <v>75</v>
      </c>
    </row>
    <row r="58" customFormat="false" ht="19.5" hidden="false" customHeight="true" outlineLevel="0" collapsed="false">
      <c r="A58" s="17" t="n">
        <v>54</v>
      </c>
      <c r="B58" s="34" t="s">
        <v>81</v>
      </c>
      <c r="C58" s="17" t="s">
        <v>83</v>
      </c>
      <c r="D58" s="16"/>
      <c r="E58" s="16"/>
      <c r="F58" s="17" t="s">
        <v>85</v>
      </c>
      <c r="G58" s="17" t="s">
        <v>75</v>
      </c>
    </row>
    <row r="59" customFormat="false" ht="19.5" hidden="false" customHeight="true" outlineLevel="0" collapsed="false">
      <c r="A59" s="14" t="n">
        <v>55</v>
      </c>
      <c r="B59" s="35" t="s">
        <v>88</v>
      </c>
      <c r="C59" s="14" t="s">
        <v>89</v>
      </c>
      <c r="D59" s="16"/>
      <c r="E59" s="16"/>
      <c r="F59" s="14" t="s">
        <v>90</v>
      </c>
      <c r="G59" s="14" t="s">
        <v>84</v>
      </c>
    </row>
    <row r="60" customFormat="false" ht="19.5" hidden="false" customHeight="true" outlineLevel="0" collapsed="false">
      <c r="A60" s="17" t="n">
        <v>56</v>
      </c>
      <c r="B60" s="36" t="s">
        <v>88</v>
      </c>
      <c r="C60" s="17" t="s">
        <v>91</v>
      </c>
      <c r="D60" s="16"/>
      <c r="E60" s="16"/>
      <c r="F60" s="17" t="s">
        <v>92</v>
      </c>
      <c r="G60" s="17" t="s">
        <v>84</v>
      </c>
    </row>
    <row r="61" customFormat="false" ht="19.5" hidden="false" customHeight="true" outlineLevel="0" collapsed="false">
      <c r="A61" s="14" t="n">
        <v>57</v>
      </c>
      <c r="B61" s="35" t="s">
        <v>88</v>
      </c>
      <c r="C61" s="14" t="s">
        <v>89</v>
      </c>
      <c r="D61" s="16"/>
      <c r="E61" s="16"/>
      <c r="F61" s="14" t="s">
        <v>91</v>
      </c>
      <c r="G61" s="14" t="s">
        <v>87</v>
      </c>
    </row>
    <row r="62" customFormat="false" ht="19.5" hidden="false" customHeight="true" outlineLevel="0" collapsed="false">
      <c r="A62" s="17" t="n">
        <v>58</v>
      </c>
      <c r="B62" s="36" t="s">
        <v>88</v>
      </c>
      <c r="C62" s="17" t="s">
        <v>92</v>
      </c>
      <c r="D62" s="16"/>
      <c r="E62" s="16"/>
      <c r="F62" s="17" t="s">
        <v>90</v>
      </c>
      <c r="G62" s="17" t="s">
        <v>87</v>
      </c>
    </row>
    <row r="63" customFormat="false" ht="19.5" hidden="false" customHeight="true" outlineLevel="0" collapsed="false">
      <c r="A63" s="14" t="n">
        <v>59</v>
      </c>
      <c r="B63" s="35" t="s">
        <v>88</v>
      </c>
      <c r="C63" s="14" t="s">
        <v>90</v>
      </c>
      <c r="D63" s="16"/>
      <c r="E63" s="16"/>
      <c r="F63" s="14" t="s">
        <v>91</v>
      </c>
      <c r="G63" s="14" t="s">
        <v>93</v>
      </c>
    </row>
    <row r="64" customFormat="false" ht="19.5" hidden="false" customHeight="true" outlineLevel="0" collapsed="false">
      <c r="A64" s="17" t="n">
        <v>60</v>
      </c>
      <c r="B64" s="36" t="s">
        <v>88</v>
      </c>
      <c r="C64" s="17" t="s">
        <v>92</v>
      </c>
      <c r="D64" s="16"/>
      <c r="E64" s="16"/>
      <c r="F64" s="17" t="s">
        <v>89</v>
      </c>
      <c r="G64" s="17" t="s">
        <v>93</v>
      </c>
    </row>
    <row r="65" customFormat="false" ht="19.5" hidden="false" customHeight="true" outlineLevel="0" collapsed="false">
      <c r="A65" s="14" t="n">
        <v>61</v>
      </c>
      <c r="B65" s="37" t="s">
        <v>94</v>
      </c>
      <c r="C65" s="14" t="s">
        <v>95</v>
      </c>
      <c r="D65" s="16"/>
      <c r="E65" s="16"/>
      <c r="F65" s="14" t="s">
        <v>96</v>
      </c>
      <c r="G65" s="14" t="s">
        <v>97</v>
      </c>
    </row>
    <row r="66" customFormat="false" ht="19.5" hidden="false" customHeight="true" outlineLevel="0" collapsed="false">
      <c r="A66" s="17" t="n">
        <v>62</v>
      </c>
      <c r="B66" s="38" t="s">
        <v>94</v>
      </c>
      <c r="C66" s="17" t="s">
        <v>98</v>
      </c>
      <c r="D66" s="16"/>
      <c r="E66" s="16"/>
      <c r="F66" s="17" t="s">
        <v>99</v>
      </c>
      <c r="G66" s="17" t="s">
        <v>97</v>
      </c>
    </row>
    <row r="67" customFormat="false" ht="19.5" hidden="false" customHeight="true" outlineLevel="0" collapsed="false">
      <c r="A67" s="14" t="n">
        <v>63</v>
      </c>
      <c r="B67" s="37" t="s">
        <v>94</v>
      </c>
      <c r="C67" s="14" t="s">
        <v>95</v>
      </c>
      <c r="D67" s="16"/>
      <c r="E67" s="16"/>
      <c r="F67" s="14" t="s">
        <v>98</v>
      </c>
      <c r="G67" s="14" t="s">
        <v>100</v>
      </c>
    </row>
    <row r="68" customFormat="false" ht="19.5" hidden="false" customHeight="true" outlineLevel="0" collapsed="false">
      <c r="A68" s="17" t="n">
        <v>64</v>
      </c>
      <c r="B68" s="38" t="s">
        <v>94</v>
      </c>
      <c r="C68" s="17" t="s">
        <v>99</v>
      </c>
      <c r="D68" s="16"/>
      <c r="E68" s="16"/>
      <c r="F68" s="17" t="s">
        <v>96</v>
      </c>
      <c r="G68" s="17" t="s">
        <v>100</v>
      </c>
    </row>
    <row r="69" customFormat="false" ht="19.5" hidden="false" customHeight="true" outlineLevel="0" collapsed="false">
      <c r="A69" s="14" t="n">
        <v>65</v>
      </c>
      <c r="B69" s="37" t="s">
        <v>94</v>
      </c>
      <c r="C69" s="14" t="s">
        <v>99</v>
      </c>
      <c r="D69" s="16"/>
      <c r="E69" s="16"/>
      <c r="F69" s="14" t="s">
        <v>95</v>
      </c>
      <c r="G69" s="14" t="s">
        <v>93</v>
      </c>
    </row>
    <row r="70" customFormat="false" ht="19.5" hidden="false" customHeight="true" outlineLevel="0" collapsed="false">
      <c r="A70" s="17" t="n">
        <v>66</v>
      </c>
      <c r="B70" s="38" t="s">
        <v>94</v>
      </c>
      <c r="C70" s="17" t="s">
        <v>96</v>
      </c>
      <c r="D70" s="16"/>
      <c r="E70" s="16"/>
      <c r="F70" s="17" t="s">
        <v>98</v>
      </c>
      <c r="G70" s="17" t="s">
        <v>93</v>
      </c>
    </row>
    <row r="71" customFormat="false" ht="19.5" hidden="false" customHeight="true" outlineLevel="0" collapsed="false">
      <c r="A71" s="14" t="n">
        <v>67</v>
      </c>
      <c r="B71" s="39" t="s">
        <v>101</v>
      </c>
      <c r="C71" s="14" t="s">
        <v>102</v>
      </c>
      <c r="D71" s="16"/>
      <c r="E71" s="16"/>
      <c r="F71" s="14" t="s">
        <v>103</v>
      </c>
      <c r="G71" s="14" t="s">
        <v>97</v>
      </c>
    </row>
    <row r="72" customFormat="false" ht="19.5" hidden="false" customHeight="true" outlineLevel="0" collapsed="false">
      <c r="A72" s="17" t="n">
        <v>68</v>
      </c>
      <c r="B72" s="40" t="s">
        <v>101</v>
      </c>
      <c r="C72" s="17" t="s">
        <v>104</v>
      </c>
      <c r="D72" s="16"/>
      <c r="E72" s="16"/>
      <c r="F72" s="17" t="s">
        <v>105</v>
      </c>
      <c r="G72" s="17" t="s">
        <v>97</v>
      </c>
    </row>
    <row r="73" customFormat="false" ht="19.5" hidden="false" customHeight="true" outlineLevel="0" collapsed="false">
      <c r="A73" s="14" t="n">
        <v>69</v>
      </c>
      <c r="B73" s="39" t="s">
        <v>101</v>
      </c>
      <c r="C73" s="14" t="s">
        <v>102</v>
      </c>
      <c r="D73" s="16"/>
      <c r="E73" s="16"/>
      <c r="F73" s="14" t="s">
        <v>104</v>
      </c>
      <c r="G73" s="14" t="s">
        <v>100</v>
      </c>
    </row>
    <row r="74" customFormat="false" ht="19.5" hidden="false" customHeight="true" outlineLevel="0" collapsed="false">
      <c r="A74" s="17" t="n">
        <v>70</v>
      </c>
      <c r="B74" s="40" t="s">
        <v>101</v>
      </c>
      <c r="C74" s="17" t="s">
        <v>105</v>
      </c>
      <c r="D74" s="16"/>
      <c r="E74" s="16"/>
      <c r="F74" s="17" t="s">
        <v>103</v>
      </c>
      <c r="G74" s="17" t="s">
        <v>100</v>
      </c>
    </row>
    <row r="75" customFormat="false" ht="19.5" hidden="false" customHeight="true" outlineLevel="0" collapsed="false">
      <c r="A75" s="14" t="n">
        <v>71</v>
      </c>
      <c r="B75" s="39" t="s">
        <v>101</v>
      </c>
      <c r="C75" s="14" t="s">
        <v>102</v>
      </c>
      <c r="D75" s="16"/>
      <c r="E75" s="16"/>
      <c r="F75" s="14" t="s">
        <v>105</v>
      </c>
      <c r="G75" s="14" t="s">
        <v>93</v>
      </c>
    </row>
    <row r="76" customFormat="false" ht="19.5" hidden="false" customHeight="true" outlineLevel="0" collapsed="false">
      <c r="A76" s="17" t="n">
        <v>72</v>
      </c>
      <c r="B76" s="40" t="s">
        <v>101</v>
      </c>
      <c r="C76" s="17" t="s">
        <v>103</v>
      </c>
      <c r="D76" s="16"/>
      <c r="E76" s="16"/>
      <c r="F76" s="17" t="s">
        <v>104</v>
      </c>
      <c r="G76" s="17" t="s">
        <v>93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33" min="4" style="0" width="6"/>
  </cols>
  <sheetData>
    <row r="1" customFormat="false" ht="31.5" hidden="false" customHeight="true" outlineLevel="0" collapsed="false">
      <c r="A1" s="12" t="s">
        <v>106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customFormat="false" ht="18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6" hidden="false" customHeight="true" outlineLevel="0" collapsed="false"/>
    <row r="4" customFormat="false" ht="30" hidden="false" customHeight="true" outlineLevel="0" collapsed="false">
      <c r="A4" s="41" t="s">
        <v>2</v>
      </c>
      <c r="B4" s="41" t="s">
        <v>108</v>
      </c>
      <c r="C4" s="42" t="s">
        <v>109</v>
      </c>
      <c r="D4" s="43" t="s">
        <v>6</v>
      </c>
      <c r="E4" s="43"/>
      <c r="F4" s="43" t="s">
        <v>7</v>
      </c>
      <c r="G4" s="43"/>
      <c r="H4" s="43" t="s">
        <v>8</v>
      </c>
      <c r="I4" s="43"/>
      <c r="J4" s="43" t="s">
        <v>9</v>
      </c>
      <c r="K4" s="43"/>
      <c r="L4" s="43" t="s">
        <v>10</v>
      </c>
      <c r="M4" s="43"/>
      <c r="N4" s="43" t="s">
        <v>11</v>
      </c>
      <c r="O4" s="43"/>
      <c r="P4" s="43" t="s">
        <v>12</v>
      </c>
      <c r="Q4" s="43"/>
      <c r="R4" s="43" t="s">
        <v>13</v>
      </c>
      <c r="S4" s="43"/>
      <c r="T4" s="43" t="s">
        <v>14</v>
      </c>
      <c r="U4" s="43"/>
      <c r="V4" s="43" t="s">
        <v>15</v>
      </c>
      <c r="W4" s="43"/>
      <c r="X4" s="43" t="s">
        <v>16</v>
      </c>
      <c r="Y4" s="43"/>
      <c r="Z4" s="43" t="s">
        <v>17</v>
      </c>
      <c r="AA4" s="43"/>
      <c r="AB4" s="43" t="s">
        <v>18</v>
      </c>
      <c r="AC4" s="43"/>
      <c r="AD4" s="43" t="s">
        <v>19</v>
      </c>
      <c r="AE4" s="43"/>
      <c r="AF4" s="43" t="s">
        <v>20</v>
      </c>
      <c r="AG4" s="43"/>
    </row>
    <row r="5" customFormat="false" ht="15.75" hidden="false" customHeight="true" outlineLevel="0" collapsed="false">
      <c r="A5" s="44"/>
      <c r="B5" s="44"/>
      <c r="C5" s="45" t="s">
        <v>110</v>
      </c>
      <c r="D5" s="46" t="s">
        <v>101</v>
      </c>
      <c r="E5" s="46" t="s">
        <v>111</v>
      </c>
      <c r="F5" s="46" t="s">
        <v>101</v>
      </c>
      <c r="G5" s="46" t="s">
        <v>111</v>
      </c>
      <c r="H5" s="46" t="s">
        <v>101</v>
      </c>
      <c r="I5" s="46" t="s">
        <v>111</v>
      </c>
      <c r="J5" s="46" t="s">
        <v>101</v>
      </c>
      <c r="K5" s="46" t="s">
        <v>111</v>
      </c>
      <c r="L5" s="46" t="s">
        <v>101</v>
      </c>
      <c r="M5" s="46" t="s">
        <v>111</v>
      </c>
      <c r="N5" s="46" t="s">
        <v>101</v>
      </c>
      <c r="O5" s="46" t="s">
        <v>111</v>
      </c>
      <c r="P5" s="46" t="s">
        <v>101</v>
      </c>
      <c r="Q5" s="46" t="s">
        <v>111</v>
      </c>
      <c r="R5" s="46" t="s">
        <v>101</v>
      </c>
      <c r="S5" s="46" t="s">
        <v>111</v>
      </c>
      <c r="T5" s="46" t="s">
        <v>101</v>
      </c>
      <c r="U5" s="46" t="s">
        <v>111</v>
      </c>
      <c r="V5" s="46" t="s">
        <v>101</v>
      </c>
      <c r="W5" s="46" t="s">
        <v>111</v>
      </c>
      <c r="X5" s="46" t="s">
        <v>101</v>
      </c>
      <c r="Y5" s="46" t="s">
        <v>111</v>
      </c>
      <c r="Z5" s="46" t="s">
        <v>101</v>
      </c>
      <c r="AA5" s="46" t="s">
        <v>111</v>
      </c>
      <c r="AB5" s="46" t="s">
        <v>101</v>
      </c>
      <c r="AC5" s="46" t="s">
        <v>111</v>
      </c>
      <c r="AD5" s="46" t="s">
        <v>101</v>
      </c>
      <c r="AE5" s="46" t="s">
        <v>111</v>
      </c>
      <c r="AF5" s="46" t="s">
        <v>101</v>
      </c>
      <c r="AG5" s="46" t="s">
        <v>111</v>
      </c>
    </row>
    <row r="6" customFormat="false" ht="19.5" hidden="false" customHeight="true" outlineLevel="0" collapsed="false">
      <c r="A6" s="15" t="n">
        <v>1</v>
      </c>
      <c r="B6" s="14" t="str">
        <f aca="false">Fixture!C5&amp;" vs "&amp;Fixture!F5</f>
        <v>México vs Sudáfrica</v>
      </c>
      <c r="C6" s="47" t="str">
        <f aca="false">IF(ISNUMBER(Fixture!D5),Fixture!D5&amp;"-"&amp;Fixture!E5,"")</f>
        <v/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customFormat="false" ht="19.5" hidden="false" customHeight="true" outlineLevel="0" collapsed="false">
      <c r="A7" s="18" t="n">
        <v>2</v>
      </c>
      <c r="B7" s="17" t="str">
        <f aca="false">Fixture!C6&amp;" vs "&amp;Fixture!F6</f>
        <v>Corea del Sur vs Chequia</v>
      </c>
      <c r="C7" s="47" t="str">
        <f aca="false">IF(ISNUMBER(Fixture!D6),Fixture!D6&amp;"-"&amp;Fixture!E6,"")</f>
        <v/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customFormat="false" ht="19.5" hidden="false" customHeight="true" outlineLevel="0" collapsed="false">
      <c r="A8" s="15" t="n">
        <v>3</v>
      </c>
      <c r="B8" s="14" t="str">
        <f aca="false">Fixture!C7&amp;" vs "&amp;Fixture!F7</f>
        <v>Chequia vs Sudáfrica</v>
      </c>
      <c r="C8" s="47" t="str">
        <f aca="false">IF(ISNUMBER(Fixture!D7),Fixture!D7&amp;"-"&amp;Fixture!E7,"")</f>
        <v/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customFormat="false" ht="19.5" hidden="false" customHeight="true" outlineLevel="0" collapsed="false">
      <c r="A9" s="18" t="n">
        <v>4</v>
      </c>
      <c r="B9" s="17" t="str">
        <f aca="false">Fixture!C8&amp;" vs "&amp;Fixture!F8</f>
        <v>México vs Corea del Sur</v>
      </c>
      <c r="C9" s="47" t="str">
        <f aca="false">IF(ISNUMBER(Fixture!D8),Fixture!D8&amp;"-"&amp;Fixture!E8,"")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customFormat="false" ht="19.5" hidden="false" customHeight="true" outlineLevel="0" collapsed="false">
      <c r="A10" s="15" t="n">
        <v>5</v>
      </c>
      <c r="B10" s="14" t="str">
        <f aca="false">Fixture!C9&amp;" vs "&amp;Fixture!F9</f>
        <v>Chequia vs México</v>
      </c>
      <c r="C10" s="47" t="str">
        <f aca="false">IF(ISNUMBER(Fixture!D9),Fixture!D9&amp;"-"&amp;Fixture!E9,"")</f>
        <v/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customFormat="false" ht="19.5" hidden="false" customHeight="true" outlineLevel="0" collapsed="false">
      <c r="A11" s="18" t="n">
        <v>6</v>
      </c>
      <c r="B11" s="17" t="str">
        <f aca="false">Fixture!C10&amp;" vs "&amp;Fixture!F10</f>
        <v>Sudáfrica vs Corea del Sur</v>
      </c>
      <c r="C11" s="47" t="str">
        <f aca="false">IF(ISNUMBER(Fixture!D10),Fixture!D10&amp;"-"&amp;Fixture!E10,"")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customFormat="false" ht="19.5" hidden="false" customHeight="true" outlineLevel="0" collapsed="false">
      <c r="A12" s="15" t="n">
        <v>7</v>
      </c>
      <c r="B12" s="14" t="str">
        <f aca="false">Fixture!C11&amp;" vs "&amp;Fixture!F11</f>
        <v>Canadá vs Bosnia-Herzegovina</v>
      </c>
      <c r="C12" s="47" t="str">
        <f aca="false">IF(ISNUMBER(Fixture!D11),Fixture!D11&amp;"-"&amp;Fixture!E11,"")</f>
        <v/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customFormat="false" ht="19.5" hidden="false" customHeight="true" outlineLevel="0" collapsed="false">
      <c r="A13" s="18" t="n">
        <v>8</v>
      </c>
      <c r="B13" s="17" t="str">
        <f aca="false">Fixture!C12&amp;" vs "&amp;Fixture!F12</f>
        <v>Qatar vs Suiza</v>
      </c>
      <c r="C13" s="47" t="str">
        <f aca="false">IF(ISNUMBER(Fixture!D12),Fixture!D12&amp;"-"&amp;Fixture!E12,"")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customFormat="false" ht="19.5" hidden="false" customHeight="true" outlineLevel="0" collapsed="false">
      <c r="A14" s="15" t="n">
        <v>9</v>
      </c>
      <c r="B14" s="14" t="str">
        <f aca="false">Fixture!C13&amp;" vs "&amp;Fixture!F13</f>
        <v>Suiza vs Bosnia-Herzegovina</v>
      </c>
      <c r="C14" s="47" t="str">
        <f aca="false">IF(ISNUMBER(Fixture!D13),Fixture!D13&amp;"-"&amp;Fixture!E13,"")</f>
        <v/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customFormat="false" ht="19.5" hidden="false" customHeight="true" outlineLevel="0" collapsed="false">
      <c r="A15" s="18" t="n">
        <v>10</v>
      </c>
      <c r="B15" s="17" t="str">
        <f aca="false">Fixture!C14&amp;" vs "&amp;Fixture!F14</f>
        <v>Canadá vs Qatar</v>
      </c>
      <c r="C15" s="47" t="str">
        <f aca="false">IF(ISNUMBER(Fixture!D14),Fixture!D14&amp;"-"&amp;Fixture!E14,"")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customFormat="false" ht="19.5" hidden="false" customHeight="true" outlineLevel="0" collapsed="false">
      <c r="A16" s="15" t="n">
        <v>11</v>
      </c>
      <c r="B16" s="14" t="str">
        <f aca="false">Fixture!C15&amp;" vs "&amp;Fixture!F15</f>
        <v>Suiza vs Canadá</v>
      </c>
      <c r="C16" s="47" t="str">
        <f aca="false">IF(ISNUMBER(Fixture!D15),Fixture!D15&amp;"-"&amp;Fixture!E15,"")</f>
        <v/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customFormat="false" ht="19.5" hidden="false" customHeight="true" outlineLevel="0" collapsed="false">
      <c r="A17" s="18" t="n">
        <v>12</v>
      </c>
      <c r="B17" s="17" t="str">
        <f aca="false">Fixture!C16&amp;" vs "&amp;Fixture!F16</f>
        <v>Bosnia-Herzegovina vs Qatar</v>
      </c>
      <c r="C17" s="47" t="str">
        <f aca="false">IF(ISNUMBER(Fixture!D16),Fixture!D16&amp;"-"&amp;Fixture!E16,"")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customFormat="false" ht="19.5" hidden="false" customHeight="true" outlineLevel="0" collapsed="false">
      <c r="A18" s="15" t="n">
        <v>13</v>
      </c>
      <c r="B18" s="14" t="str">
        <f aca="false">Fixture!C17&amp;" vs "&amp;Fixture!F17</f>
        <v>Brasil vs Marruecos</v>
      </c>
      <c r="C18" s="47" t="str">
        <f aca="false">IF(ISNUMBER(Fixture!D17),Fixture!D17&amp;"-"&amp;Fixture!E17,"")</f>
        <v/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customFormat="false" ht="19.5" hidden="false" customHeight="true" outlineLevel="0" collapsed="false">
      <c r="A19" s="18" t="n">
        <v>14</v>
      </c>
      <c r="B19" s="17" t="str">
        <f aca="false">Fixture!C18&amp;" vs "&amp;Fixture!F18</f>
        <v>Haití vs Escocia</v>
      </c>
      <c r="C19" s="47" t="str">
        <f aca="false">IF(ISNUMBER(Fixture!D18),Fixture!D18&amp;"-"&amp;Fixture!E18,"")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customFormat="false" ht="19.5" hidden="false" customHeight="true" outlineLevel="0" collapsed="false">
      <c r="A20" s="15" t="n">
        <v>15</v>
      </c>
      <c r="B20" s="14" t="str">
        <f aca="false">Fixture!C19&amp;" vs "&amp;Fixture!F19</f>
        <v>Escocia vs Marruecos</v>
      </c>
      <c r="C20" s="47" t="str">
        <f aca="false">IF(ISNUMBER(Fixture!D19),Fixture!D19&amp;"-"&amp;Fixture!E19,"")</f>
        <v/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customFormat="false" ht="19.5" hidden="false" customHeight="true" outlineLevel="0" collapsed="false">
      <c r="A21" s="18" t="n">
        <v>16</v>
      </c>
      <c r="B21" s="17" t="str">
        <f aca="false">Fixture!C20&amp;" vs "&amp;Fixture!F20</f>
        <v>Brasil vs Haití</v>
      </c>
      <c r="C21" s="47" t="str">
        <f aca="false">IF(ISNUMBER(Fixture!D20),Fixture!D20&amp;"-"&amp;Fixture!E20,"")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</row>
    <row r="22" customFormat="false" ht="19.5" hidden="false" customHeight="true" outlineLevel="0" collapsed="false">
      <c r="A22" s="15" t="n">
        <v>17</v>
      </c>
      <c r="B22" s="14" t="str">
        <f aca="false">Fixture!C21&amp;" vs "&amp;Fixture!F21</f>
        <v>Escocia vs Brasil</v>
      </c>
      <c r="C22" s="47" t="str">
        <f aca="false">IF(ISNUMBER(Fixture!D21),Fixture!D21&amp;"-"&amp;Fixture!E21,"")</f>
        <v/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customFormat="false" ht="19.5" hidden="false" customHeight="true" outlineLevel="0" collapsed="false">
      <c r="A23" s="18" t="n">
        <v>18</v>
      </c>
      <c r="B23" s="17" t="str">
        <f aca="false">Fixture!C22&amp;" vs "&amp;Fixture!F22</f>
        <v>Marruecos vs Haití</v>
      </c>
      <c r="C23" s="47" t="str">
        <f aca="false">IF(ISNUMBER(Fixture!D22),Fixture!D22&amp;"-"&amp;Fixture!E22,"")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customFormat="false" ht="19.5" hidden="false" customHeight="true" outlineLevel="0" collapsed="false">
      <c r="A24" s="15" t="n">
        <v>19</v>
      </c>
      <c r="B24" s="14" t="str">
        <f aca="false">Fixture!C23&amp;" vs "&amp;Fixture!F23</f>
        <v>Estados Unidos vs Paraguay</v>
      </c>
      <c r="C24" s="47" t="str">
        <f aca="false">IF(ISNUMBER(Fixture!D23),Fixture!D23&amp;"-"&amp;Fixture!E23,"")</f>
        <v/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customFormat="false" ht="19.5" hidden="false" customHeight="true" outlineLevel="0" collapsed="false">
      <c r="A25" s="18" t="n">
        <v>20</v>
      </c>
      <c r="B25" s="17" t="str">
        <f aca="false">Fixture!C24&amp;" vs "&amp;Fixture!F24</f>
        <v>Australia vs Turquía</v>
      </c>
      <c r="C25" s="47" t="str">
        <f aca="false">IF(ISNUMBER(Fixture!D24),Fixture!D24&amp;"-"&amp;Fixture!E24,"")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customFormat="false" ht="19.5" hidden="false" customHeight="true" outlineLevel="0" collapsed="false">
      <c r="A26" s="15" t="n">
        <v>21</v>
      </c>
      <c r="B26" s="14" t="str">
        <f aca="false">Fixture!C25&amp;" vs "&amp;Fixture!F25</f>
        <v>Estados Unidos vs Australia</v>
      </c>
      <c r="C26" s="47" t="str">
        <f aca="false">IF(ISNUMBER(Fixture!D25),Fixture!D25&amp;"-"&amp;Fixture!E25,"")</f>
        <v/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customFormat="false" ht="19.5" hidden="false" customHeight="true" outlineLevel="0" collapsed="false">
      <c r="A27" s="18" t="n">
        <v>22</v>
      </c>
      <c r="B27" s="17" t="str">
        <f aca="false">Fixture!C26&amp;" vs "&amp;Fixture!F26</f>
        <v>Turquía vs Paraguay</v>
      </c>
      <c r="C27" s="47" t="str">
        <f aca="false">IF(ISNUMBER(Fixture!D26),Fixture!D26&amp;"-"&amp;Fixture!E26,"")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</row>
    <row r="28" customFormat="false" ht="19.5" hidden="false" customHeight="true" outlineLevel="0" collapsed="false">
      <c r="A28" s="15" t="n">
        <v>23</v>
      </c>
      <c r="B28" s="14" t="str">
        <f aca="false">Fixture!C27&amp;" vs "&amp;Fixture!F27</f>
        <v>Turquía vs Estados Unidos</v>
      </c>
      <c r="C28" s="47" t="str">
        <f aca="false">IF(ISNUMBER(Fixture!D27),Fixture!D27&amp;"-"&amp;Fixture!E27,"")</f>
        <v/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customFormat="false" ht="19.5" hidden="false" customHeight="true" outlineLevel="0" collapsed="false">
      <c r="A29" s="18" t="n">
        <v>24</v>
      </c>
      <c r="B29" s="17" t="str">
        <f aca="false">Fixture!C28&amp;" vs "&amp;Fixture!F28</f>
        <v>Paraguay vs Australia</v>
      </c>
      <c r="C29" s="47" t="str">
        <f aca="false">IF(ISNUMBER(Fixture!D28),Fixture!D28&amp;"-"&amp;Fixture!E28,"")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</row>
    <row r="30" customFormat="false" ht="19.5" hidden="false" customHeight="true" outlineLevel="0" collapsed="false">
      <c r="A30" s="15" t="n">
        <v>25</v>
      </c>
      <c r="B30" s="14" t="str">
        <f aca="false">Fixture!C29&amp;" vs "&amp;Fixture!F29</f>
        <v>Alemania vs Curazao</v>
      </c>
      <c r="C30" s="47" t="str">
        <f aca="false">IF(ISNUMBER(Fixture!D29),Fixture!D29&amp;"-"&amp;Fixture!E29,"")</f>
        <v/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customFormat="false" ht="19.5" hidden="false" customHeight="true" outlineLevel="0" collapsed="false">
      <c r="A31" s="18" t="n">
        <v>26</v>
      </c>
      <c r="B31" s="17" t="str">
        <f aca="false">Fixture!C30&amp;" vs "&amp;Fixture!F30</f>
        <v>Costa de Marfil vs Ecuador</v>
      </c>
      <c r="C31" s="47" t="str">
        <f aca="false">IF(ISNUMBER(Fixture!D30),Fixture!D30&amp;"-"&amp;Fixture!E30,"")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</row>
    <row r="32" customFormat="false" ht="19.5" hidden="false" customHeight="true" outlineLevel="0" collapsed="false">
      <c r="A32" s="15" t="n">
        <v>27</v>
      </c>
      <c r="B32" s="14" t="str">
        <f aca="false">Fixture!C31&amp;" vs "&amp;Fixture!F31</f>
        <v>Alemania vs Costa de Marfil</v>
      </c>
      <c r="C32" s="47" t="str">
        <f aca="false">IF(ISNUMBER(Fixture!D31),Fixture!D31&amp;"-"&amp;Fixture!E31,"")</f>
        <v/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customFormat="false" ht="19.5" hidden="false" customHeight="true" outlineLevel="0" collapsed="false">
      <c r="A33" s="18" t="n">
        <v>28</v>
      </c>
      <c r="B33" s="17" t="str">
        <f aca="false">Fixture!C32&amp;" vs "&amp;Fixture!F32</f>
        <v>Ecuador vs Curazao</v>
      </c>
      <c r="C33" s="47" t="str">
        <f aca="false">IF(ISNUMBER(Fixture!D32),Fixture!D32&amp;"-"&amp;Fixture!E32,"")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</row>
    <row r="34" customFormat="false" ht="19.5" hidden="false" customHeight="true" outlineLevel="0" collapsed="false">
      <c r="A34" s="15" t="n">
        <v>29</v>
      </c>
      <c r="B34" s="14" t="str">
        <f aca="false">Fixture!C33&amp;" vs "&amp;Fixture!F33</f>
        <v>Ecuador vs Alemania</v>
      </c>
      <c r="C34" s="47" t="str">
        <f aca="false">IF(ISNUMBER(Fixture!D33),Fixture!D33&amp;"-"&amp;Fixture!E33,"")</f>
        <v/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customFormat="false" ht="19.5" hidden="false" customHeight="true" outlineLevel="0" collapsed="false">
      <c r="A35" s="18" t="n">
        <v>30</v>
      </c>
      <c r="B35" s="17" t="str">
        <f aca="false">Fixture!C34&amp;" vs "&amp;Fixture!F34</f>
        <v>Curazao vs Costa de Marfil</v>
      </c>
      <c r="C35" s="47" t="str">
        <f aca="false">IF(ISNUMBER(Fixture!D34),Fixture!D34&amp;"-"&amp;Fixture!E34,"")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</row>
    <row r="36" customFormat="false" ht="19.5" hidden="false" customHeight="true" outlineLevel="0" collapsed="false">
      <c r="A36" s="15" t="n">
        <v>31</v>
      </c>
      <c r="B36" s="14" t="str">
        <f aca="false">Fixture!C35&amp;" vs "&amp;Fixture!F35</f>
        <v>Países Bajos vs Japón</v>
      </c>
      <c r="C36" s="47" t="str">
        <f aca="false">IF(ISNUMBER(Fixture!D35),Fixture!D35&amp;"-"&amp;Fixture!E35,"")</f>
        <v/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customFormat="false" ht="19.5" hidden="false" customHeight="true" outlineLevel="0" collapsed="false">
      <c r="A37" s="18" t="n">
        <v>32</v>
      </c>
      <c r="B37" s="17" t="str">
        <f aca="false">Fixture!C36&amp;" vs "&amp;Fixture!F36</f>
        <v>Suecia vs Túnez</v>
      </c>
      <c r="C37" s="47" t="str">
        <f aca="false">IF(ISNUMBER(Fixture!D36),Fixture!D36&amp;"-"&amp;Fixture!E36,"")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</row>
    <row r="38" customFormat="false" ht="19.5" hidden="false" customHeight="true" outlineLevel="0" collapsed="false">
      <c r="A38" s="15" t="n">
        <v>33</v>
      </c>
      <c r="B38" s="14" t="str">
        <f aca="false">Fixture!C37&amp;" vs "&amp;Fixture!F37</f>
        <v>Países Bajos vs Suecia</v>
      </c>
      <c r="C38" s="47" t="str">
        <f aca="false">IF(ISNUMBER(Fixture!D37),Fixture!D37&amp;"-"&amp;Fixture!E37,"")</f>
        <v/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customFormat="false" ht="19.5" hidden="false" customHeight="true" outlineLevel="0" collapsed="false">
      <c r="A39" s="18" t="n">
        <v>34</v>
      </c>
      <c r="B39" s="17" t="str">
        <f aca="false">Fixture!C38&amp;" vs "&amp;Fixture!F38</f>
        <v>Túnez vs Japón</v>
      </c>
      <c r="C39" s="47" t="str">
        <f aca="false">IF(ISNUMBER(Fixture!D38),Fixture!D38&amp;"-"&amp;Fixture!E38,"")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</row>
    <row r="40" customFormat="false" ht="19.5" hidden="false" customHeight="true" outlineLevel="0" collapsed="false">
      <c r="A40" s="15" t="n">
        <v>35</v>
      </c>
      <c r="B40" s="14" t="str">
        <f aca="false">Fixture!C39&amp;" vs "&amp;Fixture!F39</f>
        <v>Japón vs Suecia</v>
      </c>
      <c r="C40" s="47" t="str">
        <f aca="false">IF(ISNUMBER(Fixture!D39),Fixture!D39&amp;"-"&amp;Fixture!E39,"")</f>
        <v/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customFormat="false" ht="19.5" hidden="false" customHeight="true" outlineLevel="0" collapsed="false">
      <c r="A41" s="18" t="n">
        <v>36</v>
      </c>
      <c r="B41" s="17" t="str">
        <f aca="false">Fixture!C40&amp;" vs "&amp;Fixture!F40</f>
        <v>Túnez vs Países Bajos</v>
      </c>
      <c r="C41" s="47" t="str">
        <f aca="false">IF(ISNUMBER(Fixture!D40),Fixture!D40&amp;"-"&amp;Fixture!E40,"")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</row>
    <row r="42" customFormat="false" ht="19.5" hidden="false" customHeight="true" outlineLevel="0" collapsed="false">
      <c r="A42" s="15" t="n">
        <v>37</v>
      </c>
      <c r="B42" s="14" t="str">
        <f aca="false">Fixture!C41&amp;" vs "&amp;Fixture!F41</f>
        <v>Bélgica vs Egipto</v>
      </c>
      <c r="C42" s="47" t="str">
        <f aca="false">IF(ISNUMBER(Fixture!D41),Fixture!D41&amp;"-"&amp;Fixture!E41,"")</f>
        <v/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customFormat="false" ht="19.5" hidden="false" customHeight="true" outlineLevel="0" collapsed="false">
      <c r="A43" s="18" t="n">
        <v>38</v>
      </c>
      <c r="B43" s="17" t="str">
        <f aca="false">Fixture!C42&amp;" vs "&amp;Fixture!F42</f>
        <v>Irán vs Nueva Zelanda</v>
      </c>
      <c r="C43" s="47" t="str">
        <f aca="false">IF(ISNUMBER(Fixture!D42),Fixture!D42&amp;"-"&amp;Fixture!E42,"")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</row>
    <row r="44" customFormat="false" ht="19.5" hidden="false" customHeight="true" outlineLevel="0" collapsed="false">
      <c r="A44" s="15" t="n">
        <v>39</v>
      </c>
      <c r="B44" s="14" t="str">
        <f aca="false">Fixture!C43&amp;" vs "&amp;Fixture!F43</f>
        <v>Bélgica vs Irán</v>
      </c>
      <c r="C44" s="47" t="str">
        <f aca="false">IF(ISNUMBER(Fixture!D43),Fixture!D43&amp;"-"&amp;Fixture!E43,"")</f>
        <v/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customFormat="false" ht="19.5" hidden="false" customHeight="true" outlineLevel="0" collapsed="false">
      <c r="A45" s="18" t="n">
        <v>40</v>
      </c>
      <c r="B45" s="17" t="str">
        <f aca="false">Fixture!C44&amp;" vs "&amp;Fixture!F44</f>
        <v>Nueva Zelanda vs Egipto</v>
      </c>
      <c r="C45" s="47" t="str">
        <f aca="false">IF(ISNUMBER(Fixture!D44),Fixture!D44&amp;"-"&amp;Fixture!E44,"")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</row>
    <row r="46" customFormat="false" ht="19.5" hidden="false" customHeight="true" outlineLevel="0" collapsed="false">
      <c r="A46" s="15" t="n">
        <v>41</v>
      </c>
      <c r="B46" s="14" t="str">
        <f aca="false">Fixture!C45&amp;" vs "&amp;Fixture!F45</f>
        <v>Egipto vs Irán</v>
      </c>
      <c r="C46" s="47" t="str">
        <f aca="false">IF(ISNUMBER(Fixture!D45),Fixture!D45&amp;"-"&amp;Fixture!E45,"")</f>
        <v/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customFormat="false" ht="19.5" hidden="false" customHeight="true" outlineLevel="0" collapsed="false">
      <c r="A47" s="18" t="n">
        <v>42</v>
      </c>
      <c r="B47" s="17" t="str">
        <f aca="false">Fixture!C46&amp;" vs "&amp;Fixture!F46</f>
        <v>Nueva Zelanda vs Bélgica</v>
      </c>
      <c r="C47" s="47" t="str">
        <f aca="false">IF(ISNUMBER(Fixture!D46),Fixture!D46&amp;"-"&amp;Fixture!E46,"")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</row>
    <row r="48" customFormat="false" ht="19.5" hidden="false" customHeight="true" outlineLevel="0" collapsed="false">
      <c r="A48" s="15" t="n">
        <v>43</v>
      </c>
      <c r="B48" s="14" t="str">
        <f aca="false">Fixture!C47&amp;" vs "&amp;Fixture!F47</f>
        <v>España vs Cabo Verde</v>
      </c>
      <c r="C48" s="47" t="str">
        <f aca="false">IF(ISNUMBER(Fixture!D47),Fixture!D47&amp;"-"&amp;Fixture!E47,"")</f>
        <v/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customFormat="false" ht="19.5" hidden="false" customHeight="true" outlineLevel="0" collapsed="false">
      <c r="A49" s="18" t="n">
        <v>44</v>
      </c>
      <c r="B49" s="17" t="str">
        <f aca="false">Fixture!C48&amp;" vs "&amp;Fixture!F48</f>
        <v>Arabia Saudita vs Uruguay</v>
      </c>
      <c r="C49" s="47" t="str">
        <f aca="false">IF(ISNUMBER(Fixture!D48),Fixture!D48&amp;"-"&amp;Fixture!E48,"")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</row>
    <row r="50" customFormat="false" ht="19.5" hidden="false" customHeight="true" outlineLevel="0" collapsed="false">
      <c r="A50" s="15" t="n">
        <v>45</v>
      </c>
      <c r="B50" s="14" t="str">
        <f aca="false">Fixture!C49&amp;" vs "&amp;Fixture!F49</f>
        <v>España vs Arabia Saudita</v>
      </c>
      <c r="C50" s="47" t="str">
        <f aca="false">IF(ISNUMBER(Fixture!D49),Fixture!D49&amp;"-"&amp;Fixture!E49,"")</f>
        <v/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customFormat="false" ht="19.5" hidden="false" customHeight="true" outlineLevel="0" collapsed="false">
      <c r="A51" s="18" t="n">
        <v>46</v>
      </c>
      <c r="B51" s="17" t="str">
        <f aca="false">Fixture!C50&amp;" vs "&amp;Fixture!F50</f>
        <v>Uruguay vs Cabo Verde</v>
      </c>
      <c r="C51" s="47" t="str">
        <f aca="false">IF(ISNUMBER(Fixture!D50),Fixture!D50&amp;"-"&amp;Fixture!E50,"")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</row>
    <row r="52" customFormat="false" ht="19.5" hidden="false" customHeight="true" outlineLevel="0" collapsed="false">
      <c r="A52" s="15" t="n">
        <v>47</v>
      </c>
      <c r="B52" s="14" t="str">
        <f aca="false">Fixture!C51&amp;" vs "&amp;Fixture!F51</f>
        <v>Cabo Verde vs Arabia Saudita</v>
      </c>
      <c r="C52" s="47" t="str">
        <f aca="false">IF(ISNUMBER(Fixture!D51),Fixture!D51&amp;"-"&amp;Fixture!E51,"")</f>
        <v/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customFormat="false" ht="19.5" hidden="false" customHeight="true" outlineLevel="0" collapsed="false">
      <c r="A53" s="18" t="n">
        <v>48</v>
      </c>
      <c r="B53" s="17" t="str">
        <f aca="false">Fixture!C52&amp;" vs "&amp;Fixture!F52</f>
        <v>Uruguay vs España</v>
      </c>
      <c r="C53" s="47" t="str">
        <f aca="false">IF(ISNUMBER(Fixture!D52),Fixture!D52&amp;"-"&amp;Fixture!E52,"")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</row>
    <row r="54" customFormat="false" ht="19.5" hidden="false" customHeight="true" outlineLevel="0" collapsed="false">
      <c r="A54" s="15" t="n">
        <v>49</v>
      </c>
      <c r="B54" s="14" t="str">
        <f aca="false">Fixture!C53&amp;" vs "&amp;Fixture!F53</f>
        <v>Francia vs Senegal</v>
      </c>
      <c r="C54" s="47" t="str">
        <f aca="false">IF(ISNUMBER(Fixture!D53),Fixture!D53&amp;"-"&amp;Fixture!E53,"")</f>
        <v/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customFormat="false" ht="19.5" hidden="false" customHeight="true" outlineLevel="0" collapsed="false">
      <c r="A55" s="18" t="n">
        <v>50</v>
      </c>
      <c r="B55" s="17" t="str">
        <f aca="false">Fixture!C54&amp;" vs "&amp;Fixture!F54</f>
        <v>Irak vs Noruega</v>
      </c>
      <c r="C55" s="47" t="str">
        <f aca="false">IF(ISNUMBER(Fixture!D54),Fixture!D54&amp;"-"&amp;Fixture!E54,"")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</row>
    <row r="56" customFormat="false" ht="19.5" hidden="false" customHeight="true" outlineLevel="0" collapsed="false">
      <c r="A56" s="15" t="n">
        <v>51</v>
      </c>
      <c r="B56" s="14" t="str">
        <f aca="false">Fixture!C55&amp;" vs "&amp;Fixture!F55</f>
        <v>Francia vs Irak</v>
      </c>
      <c r="C56" s="47" t="str">
        <f aca="false">IF(ISNUMBER(Fixture!D55),Fixture!D55&amp;"-"&amp;Fixture!E55,"")</f>
        <v/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customFormat="false" ht="19.5" hidden="false" customHeight="true" outlineLevel="0" collapsed="false">
      <c r="A57" s="18" t="n">
        <v>52</v>
      </c>
      <c r="B57" s="17" t="str">
        <f aca="false">Fixture!C56&amp;" vs "&amp;Fixture!F56</f>
        <v>Noruega vs Senegal</v>
      </c>
      <c r="C57" s="47" t="str">
        <f aca="false">IF(ISNUMBER(Fixture!D56),Fixture!D56&amp;"-"&amp;Fixture!E56,"")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</row>
    <row r="58" customFormat="false" ht="19.5" hidden="false" customHeight="true" outlineLevel="0" collapsed="false">
      <c r="A58" s="15" t="n">
        <v>53</v>
      </c>
      <c r="B58" s="14" t="str">
        <f aca="false">Fixture!C57&amp;" vs "&amp;Fixture!F57</f>
        <v>Noruega vs Francia</v>
      </c>
      <c r="C58" s="47" t="str">
        <f aca="false">IF(ISNUMBER(Fixture!D57),Fixture!D57&amp;"-"&amp;Fixture!E57,"")</f>
        <v/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customFormat="false" ht="19.5" hidden="false" customHeight="true" outlineLevel="0" collapsed="false">
      <c r="A59" s="18" t="n">
        <v>54</v>
      </c>
      <c r="B59" s="17" t="str">
        <f aca="false">Fixture!C58&amp;" vs "&amp;Fixture!F58</f>
        <v>Senegal vs Irak</v>
      </c>
      <c r="C59" s="47" t="str">
        <f aca="false">IF(ISNUMBER(Fixture!D58),Fixture!D58&amp;"-"&amp;Fixture!E58,"")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</row>
    <row r="60" customFormat="false" ht="19.5" hidden="false" customHeight="true" outlineLevel="0" collapsed="false">
      <c r="A60" s="15" t="n">
        <v>55</v>
      </c>
      <c r="B60" s="14" t="str">
        <f aca="false">Fixture!C59&amp;" vs "&amp;Fixture!F59</f>
        <v>Argentina vs Argelia</v>
      </c>
      <c r="C60" s="47" t="str">
        <f aca="false">IF(ISNUMBER(Fixture!D59),Fixture!D59&amp;"-"&amp;Fixture!E59,"")</f>
        <v/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customFormat="false" ht="19.5" hidden="false" customHeight="true" outlineLevel="0" collapsed="false">
      <c r="A61" s="18" t="n">
        <v>56</v>
      </c>
      <c r="B61" s="17" t="str">
        <f aca="false">Fixture!C60&amp;" vs "&amp;Fixture!F60</f>
        <v>Austria vs Jordania</v>
      </c>
      <c r="C61" s="47" t="str">
        <f aca="false">IF(ISNUMBER(Fixture!D60),Fixture!D60&amp;"-"&amp;Fixture!E60,"")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</row>
    <row r="62" customFormat="false" ht="19.5" hidden="false" customHeight="true" outlineLevel="0" collapsed="false">
      <c r="A62" s="15" t="n">
        <v>57</v>
      </c>
      <c r="B62" s="14" t="str">
        <f aca="false">Fixture!C61&amp;" vs "&amp;Fixture!F61</f>
        <v>Argentina vs Austria</v>
      </c>
      <c r="C62" s="47" t="str">
        <f aca="false">IF(ISNUMBER(Fixture!D61),Fixture!D61&amp;"-"&amp;Fixture!E61,"")</f>
        <v/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customFormat="false" ht="19.5" hidden="false" customHeight="true" outlineLevel="0" collapsed="false">
      <c r="A63" s="18" t="n">
        <v>58</v>
      </c>
      <c r="B63" s="17" t="str">
        <f aca="false">Fixture!C62&amp;" vs "&amp;Fixture!F62</f>
        <v>Jordania vs Argelia</v>
      </c>
      <c r="C63" s="47" t="str">
        <f aca="false">IF(ISNUMBER(Fixture!D62),Fixture!D62&amp;"-"&amp;Fixture!E62,"")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</row>
    <row r="64" customFormat="false" ht="19.5" hidden="false" customHeight="true" outlineLevel="0" collapsed="false">
      <c r="A64" s="15" t="n">
        <v>59</v>
      </c>
      <c r="B64" s="14" t="str">
        <f aca="false">Fixture!C63&amp;" vs "&amp;Fixture!F63</f>
        <v>Argelia vs Austria</v>
      </c>
      <c r="C64" s="47" t="str">
        <f aca="false">IF(ISNUMBER(Fixture!D63),Fixture!D63&amp;"-"&amp;Fixture!E63,"")</f>
        <v/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customFormat="false" ht="19.5" hidden="false" customHeight="true" outlineLevel="0" collapsed="false">
      <c r="A65" s="18" t="n">
        <v>60</v>
      </c>
      <c r="B65" s="17" t="str">
        <f aca="false">Fixture!C64&amp;" vs "&amp;Fixture!F64</f>
        <v>Jordania vs Argentina</v>
      </c>
      <c r="C65" s="47" t="str">
        <f aca="false">IF(ISNUMBER(Fixture!D64),Fixture!D64&amp;"-"&amp;Fixture!E64,"")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</row>
    <row r="66" customFormat="false" ht="19.5" hidden="false" customHeight="true" outlineLevel="0" collapsed="false">
      <c r="A66" s="15" t="n">
        <v>61</v>
      </c>
      <c r="B66" s="14" t="str">
        <f aca="false">Fixture!C65&amp;" vs "&amp;Fixture!F65</f>
        <v>Portugal vs Rep. D. Congo</v>
      </c>
      <c r="C66" s="47" t="str">
        <f aca="false">IF(ISNUMBER(Fixture!D65),Fixture!D65&amp;"-"&amp;Fixture!E65,"")</f>
        <v/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customFormat="false" ht="19.5" hidden="false" customHeight="true" outlineLevel="0" collapsed="false">
      <c r="A67" s="18" t="n">
        <v>62</v>
      </c>
      <c r="B67" s="17" t="str">
        <f aca="false">Fixture!C66&amp;" vs "&amp;Fixture!F66</f>
        <v>Uzbekistán vs Colombia</v>
      </c>
      <c r="C67" s="47" t="str">
        <f aca="false">IF(ISNUMBER(Fixture!D66),Fixture!D66&amp;"-"&amp;Fixture!E66,"")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</row>
    <row r="68" customFormat="false" ht="19.5" hidden="false" customHeight="true" outlineLevel="0" collapsed="false">
      <c r="A68" s="15" t="n">
        <v>63</v>
      </c>
      <c r="B68" s="14" t="str">
        <f aca="false">Fixture!C67&amp;" vs "&amp;Fixture!F67</f>
        <v>Portugal vs Uzbekistán</v>
      </c>
      <c r="C68" s="47" t="str">
        <f aca="false">IF(ISNUMBER(Fixture!D67),Fixture!D67&amp;"-"&amp;Fixture!E67,"")</f>
        <v/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customFormat="false" ht="19.5" hidden="false" customHeight="true" outlineLevel="0" collapsed="false">
      <c r="A69" s="18" t="n">
        <v>64</v>
      </c>
      <c r="B69" s="17" t="str">
        <f aca="false">Fixture!C68&amp;" vs "&amp;Fixture!F68</f>
        <v>Colombia vs Rep. D. Congo</v>
      </c>
      <c r="C69" s="47" t="str">
        <f aca="false">IF(ISNUMBER(Fixture!D68),Fixture!D68&amp;"-"&amp;Fixture!E68,"")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</row>
    <row r="70" customFormat="false" ht="19.5" hidden="false" customHeight="true" outlineLevel="0" collapsed="false">
      <c r="A70" s="15" t="n">
        <v>65</v>
      </c>
      <c r="B70" s="14" t="str">
        <f aca="false">Fixture!C69&amp;" vs "&amp;Fixture!F69</f>
        <v>Colombia vs Portugal</v>
      </c>
      <c r="C70" s="47" t="str">
        <f aca="false">IF(ISNUMBER(Fixture!D69),Fixture!D69&amp;"-"&amp;Fixture!E69,"")</f>
        <v/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customFormat="false" ht="19.5" hidden="false" customHeight="true" outlineLevel="0" collapsed="false">
      <c r="A71" s="18" t="n">
        <v>66</v>
      </c>
      <c r="B71" s="17" t="str">
        <f aca="false">Fixture!C70&amp;" vs "&amp;Fixture!F70</f>
        <v>Rep. D. Congo vs Uzbekistán</v>
      </c>
      <c r="C71" s="47" t="str">
        <f aca="false">IF(ISNUMBER(Fixture!D70),Fixture!D70&amp;"-"&amp;Fixture!E70,"")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</row>
    <row r="72" customFormat="false" ht="19.5" hidden="false" customHeight="true" outlineLevel="0" collapsed="false">
      <c r="A72" s="15" t="n">
        <v>67</v>
      </c>
      <c r="B72" s="14" t="str">
        <f aca="false">Fixture!C71&amp;" vs "&amp;Fixture!F71</f>
        <v>Inglaterra vs Croacia</v>
      </c>
      <c r="C72" s="47" t="str">
        <f aca="false">IF(ISNUMBER(Fixture!D71),Fixture!D71&amp;"-"&amp;Fixture!E71,"")</f>
        <v/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customFormat="false" ht="19.5" hidden="false" customHeight="true" outlineLevel="0" collapsed="false">
      <c r="A73" s="18" t="n">
        <v>68</v>
      </c>
      <c r="B73" s="17" t="str">
        <f aca="false">Fixture!C72&amp;" vs "&amp;Fixture!F72</f>
        <v>Ghana vs Panamá</v>
      </c>
      <c r="C73" s="47" t="str">
        <f aca="false">IF(ISNUMBER(Fixture!D72),Fixture!D72&amp;"-"&amp;Fixture!E72,"")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</row>
    <row r="74" customFormat="false" ht="19.5" hidden="false" customHeight="true" outlineLevel="0" collapsed="false">
      <c r="A74" s="15" t="n">
        <v>69</v>
      </c>
      <c r="B74" s="14" t="str">
        <f aca="false">Fixture!C73&amp;" vs "&amp;Fixture!F73</f>
        <v>Inglaterra vs Ghana</v>
      </c>
      <c r="C74" s="47" t="str">
        <f aca="false">IF(ISNUMBER(Fixture!D73),Fixture!D73&amp;"-"&amp;Fixture!E73,"")</f>
        <v/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customFormat="false" ht="19.5" hidden="false" customHeight="true" outlineLevel="0" collapsed="false">
      <c r="A75" s="18" t="n">
        <v>70</v>
      </c>
      <c r="B75" s="17" t="str">
        <f aca="false">Fixture!C74&amp;" vs "&amp;Fixture!F74</f>
        <v>Panamá vs Croacia</v>
      </c>
      <c r="C75" s="47" t="str">
        <f aca="false">IF(ISNUMBER(Fixture!D74),Fixture!D74&amp;"-"&amp;Fixture!E74,"")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</row>
    <row r="76" customFormat="false" ht="19.5" hidden="false" customHeight="true" outlineLevel="0" collapsed="false">
      <c r="A76" s="15" t="n">
        <v>71</v>
      </c>
      <c r="B76" s="14" t="str">
        <f aca="false">Fixture!C75&amp;" vs "&amp;Fixture!F75</f>
        <v>Inglaterra vs Panamá</v>
      </c>
      <c r="C76" s="47" t="str">
        <f aca="false">IF(ISNUMBER(Fixture!D75),Fixture!D75&amp;"-"&amp;Fixture!E75,"")</f>
        <v/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customFormat="false" ht="19.5" hidden="false" customHeight="true" outlineLevel="0" collapsed="false">
      <c r="A77" s="18" t="n">
        <v>72</v>
      </c>
      <c r="B77" s="17" t="str">
        <f aca="false">Fixture!C76&amp;" vs "&amp;Fixture!F76</f>
        <v>Croacia vs Ghana</v>
      </c>
      <c r="C77" s="47" t="str">
        <f aca="false">IF(ISNUMBER(Fixture!D76),Fixture!D76&amp;"-"&amp;Fixture!E76,"")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2026-06-10T18:47:03Z</dcterms:created>
  <dc:creator>openpyxl</dc:creator>
  <dc:description/>
  <dc:language>en-US</dc:language>
  <cp:lastModifiedBy/>
  <dcterms:modified xsi:type="dcterms:W3CDTF">2026-06-10T18:47:04Z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