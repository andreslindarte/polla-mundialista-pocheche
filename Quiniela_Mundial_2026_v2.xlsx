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polla mundialista github\polla-mundialista-pocheche\"/>
    </mc:Choice>
  </mc:AlternateContent>
  <xr:revisionPtr revIDLastSave="0" documentId="13_ncr:1_{4CE7D78F-93DB-4657-9E4B-C993BFD5B035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<sst xmlns="http://schemas.openxmlformats.org/spreadsheetml/2006/main" count="355" uniqueCount="113">
  <si>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</si>
  <si>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</si>
  <si>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</si>
  <si>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</si>
  <si>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</si>
  <si>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</si>
  <si>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</si>
  <si>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</si>
  <si>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</si>
  <si>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</si>
  <si>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</si>
  <si>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</si>
  <si>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</si>
  <si>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</si>
  <si>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</si>
  <si>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</si>
  <si>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</si>
  <si>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</si>
  <si>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</si>
  <si>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</si>
  <si>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</si>
  <si>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</si>
  <si>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</si>
  <si>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</si>
  <si>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</si>
  <si>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</si>
  <si>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</si>
  <si>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</si>
  <si>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</si>
  <si>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</si>
  <si>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</si>
  <si>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</si>
  <si>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</si>
  <si>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</si>
  <si>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</si>
  <si>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</si>
  <si>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</si>
  <si>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</si>
  <si>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</si>
  <si>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</si>
  <si>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</si>
  <si>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</si>
  <si>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</si>
  <si>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</si>
  <si>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</si>
  <si>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</si>
  <si>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</si>
  <si>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</si>
  <si>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</si>
  <si>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</si>
  <si>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</si>
  <si>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</si>
  <si>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</si>
  <si>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</si>
  <si>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</si>
  <si>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</si>
  <si>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</si>
  <si>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</si>
  <si>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</si>
  <si>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</si>
  <si>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</si>
  <si>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</si>
  <si>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</si>
  <si>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</si>
  <si>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</si>
  <si>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</si>
  <si>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</si>
  <si>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</si>
  <si>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</si>
  <si>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</si>
  <si>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</si>
  <si>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</si>
  <si>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</si>
  <si>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</si>
  <si>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</si>
  <si>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</si>
  <si>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</si>
  <si>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</si>
  <si>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</si>
  <si>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</si>
  <si>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</si>
  <si>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</si>
  <si>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</si>
  <si>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</si>
  <si>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</si>
  <si>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</si>
  <si>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</si>
  <si>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</si>
  <si>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</si>
  <si>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</si>
  <si>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</si>
  <si>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</si>
  <si>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</si>
  <si>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</si>
  <si>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</si>
  <si>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</si>
  <si>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</si>
  <si>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</si>
  <si>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</si>
  <si>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</si>
  <si>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</si>
  <si>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</si>
  <si>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</si>
  <si>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</si>
  <si>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</si>
  <si>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</si>
  <si>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</si>
  <si>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</si>
  <si>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</si>
  <si>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</si>
  <si>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</si>
  <si>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</si>
  <si>
    <t xml:space="preserve">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</si>
</sst>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  <fill>
      <patternFill patternType="solid">
        <fgColor theme="6" tint="0.39997558519241921"/>
        <bgColor rgb="FFE2EFDA"/>
      </patternFill>
    </fill>
    <fill>
      <patternFill patternType="solid">
        <fgColor theme="6" tint="0.39997558519241921"/>
        <bgColor rgb="FFF2F2F2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9" t="s">
        <v>0</v>
      </c>
      <c r="B1" s="49"/>
      <c r="C1" s="49"/>
      <c r="D1" s="49"/>
    </row>
    <row r="2" spans="1:4" ht="19.5" customHeight="1" x14ac:dyDescent="0.25">
      <c r="A2" s="47" t="s">
        <v>1</v>
      </c>
      <c r="B2" s="47"/>
      <c r="C2" s="47"/>
      <c r="D2" s="47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6"/>
  <sheetViews>
    <sheetView showGridLines="0" topLeftCell="A25" zoomScaleNormal="100" workbookViewId="0">
      <selection activeCell="F46" sqref="F46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6" t="s">
        <v>9</v>
      </c>
      <c r="B1" s="46"/>
      <c r="C1" s="46"/>
      <c r="D1" s="46"/>
      <c r="E1" s="46"/>
      <c r="F1" s="46"/>
      <c r="G1" s="46"/>
    </row>
    <row r="2" spans="1:7" ht="18" customHeight="1" x14ac:dyDescent="0.25">
      <c r="A2" s="47" t="s">
        <v>10</v>
      </c>
      <c r="B2" s="47"/>
      <c r="C2" s="47"/>
      <c r="D2" s="47"/>
      <c r="E2" s="47"/>
      <c r="F2" s="47"/>
      <c r="G2" s="47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0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>
        <v>2</v>
      </c>
      <c r="E6" s="13">
        <v>1</v>
      </c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>
        <v>1</v>
      </c>
      <c r="E11" s="13">
        <v>1</v>
      </c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>
        <v>1</v>
      </c>
      <c r="E12" s="13">
        <v>1</v>
      </c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14" ht="19.5" customHeight="1" x14ac:dyDescent="0.25">
      <c r="A17" s="11">
        <v>13</v>
      </c>
      <c r="B17" s="18" t="s">
        <v>32</v>
      </c>
      <c r="C17" s="11" t="s">
        <v>33</v>
      </c>
      <c r="D17" s="13">
        <v>1</v>
      </c>
      <c r="E17" s="13">
        <v>1</v>
      </c>
      <c r="F17" s="11" t="s">
        <v>34</v>
      </c>
      <c r="G17" s="11" t="s">
        <v>31</v>
      </c>
      <c r="N17" t="s">
        <v>112</v>
      </c>
    </row>
    <row r="18" spans="1:14" ht="19.5" customHeight="1" x14ac:dyDescent="0.25">
      <c r="A18" s="14">
        <v>14</v>
      </c>
      <c r="B18" s="19" t="s">
        <v>32</v>
      </c>
      <c r="C18" s="14" t="s">
        <v>35</v>
      </c>
      <c r="D18" s="13">
        <v>0</v>
      </c>
      <c r="E18" s="13">
        <v>1</v>
      </c>
      <c r="F18" s="14" t="s">
        <v>36</v>
      </c>
      <c r="G18" s="14" t="s">
        <v>31</v>
      </c>
    </row>
    <row r="19" spans="1:14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14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14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14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14" ht="19.5" customHeight="1" x14ac:dyDescent="0.25">
      <c r="A23" s="11">
        <v>19</v>
      </c>
      <c r="B23" s="20" t="s">
        <v>38</v>
      </c>
      <c r="C23" s="11" t="s">
        <v>39</v>
      </c>
      <c r="D23" s="13">
        <v>4</v>
      </c>
      <c r="E23" s="13">
        <v>1</v>
      </c>
      <c r="F23" s="11" t="s">
        <v>40</v>
      </c>
      <c r="G23" s="11" t="s">
        <v>28</v>
      </c>
    </row>
    <row r="24" spans="1:14" ht="19.5" customHeight="1" x14ac:dyDescent="0.25">
      <c r="A24" s="14">
        <v>20</v>
      </c>
      <c r="B24" s="21" t="s">
        <v>38</v>
      </c>
      <c r="C24" s="14" t="s">
        <v>41</v>
      </c>
      <c r="D24" s="13">
        <v>2</v>
      </c>
      <c r="E24" s="13">
        <v>0</v>
      </c>
      <c r="F24" s="14" t="s">
        <v>42</v>
      </c>
      <c r="G24" s="14" t="s">
        <v>31</v>
      </c>
    </row>
    <row r="25" spans="1:14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14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14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14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14" ht="19.5" customHeight="1" x14ac:dyDescent="0.25">
      <c r="A29" s="11">
        <v>25</v>
      </c>
      <c r="B29" s="22" t="s">
        <v>44</v>
      </c>
      <c r="C29" s="11" t="s">
        <v>45</v>
      </c>
      <c r="D29" s="13">
        <v>7</v>
      </c>
      <c r="E29" s="13">
        <v>1</v>
      </c>
      <c r="F29" s="11" t="s">
        <v>46</v>
      </c>
      <c r="G29" s="11" t="s">
        <v>47</v>
      </c>
    </row>
    <row r="30" spans="1:14" ht="19.5" customHeight="1" x14ac:dyDescent="0.25">
      <c r="A30" s="14">
        <v>26</v>
      </c>
      <c r="B30" s="23" t="s">
        <v>44</v>
      </c>
      <c r="C30" s="14" t="s">
        <v>48</v>
      </c>
      <c r="D30" s="13">
        <v>1</v>
      </c>
      <c r="E30" s="13">
        <v>0</v>
      </c>
      <c r="F30" s="14" t="s">
        <v>49</v>
      </c>
      <c r="G30" s="14" t="s">
        <v>47</v>
      </c>
    </row>
    <row r="31" spans="1:14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14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>
        <v>2</v>
      </c>
      <c r="E35" s="13">
        <v>2</v>
      </c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>
        <v>5</v>
      </c>
      <c r="E36" s="13">
        <v>1</v>
      </c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>
        <v>0</v>
      </c>
      <c r="E47" s="13">
        <v>0</v>
      </c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tabSelected="1" topLeftCell="A35" zoomScaleNormal="100" workbookViewId="0">
      <selection activeCell="C48" sqref="C48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6" t="s">
        <v>94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3" ht="18" customHeight="1" x14ac:dyDescent="0.25">
      <c r="A2" s="47" t="s">
        <v>95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7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8" t="str">
        <f>Participantes!B5</f>
        <v>Andres Jesús</v>
      </c>
      <c r="E4" s="48"/>
      <c r="F4" s="48" t="str">
        <f>Participantes!B6</f>
        <v>Leonardo Fabio</v>
      </c>
      <c r="G4" s="48"/>
      <c r="H4" s="48" t="str">
        <f>Participantes!B7</f>
        <v>Martha Cenidia</v>
      </c>
      <c r="I4" s="48"/>
      <c r="J4" s="48" t="str">
        <f>Participantes!B8</f>
        <v>Freddy Ramón</v>
      </c>
      <c r="K4" s="48"/>
      <c r="L4" s="48" t="str">
        <f>Participantes!B9</f>
        <v xml:space="preserve">Juan Camilo </v>
      </c>
      <c r="M4" s="48"/>
      <c r="N4" s="48" t="str">
        <f>Participantes!B10</f>
        <v xml:space="preserve">Juan David </v>
      </c>
      <c r="O4" s="48"/>
      <c r="P4" s="48" t="str">
        <f>Participantes!B11</f>
        <v>María Trinidad</v>
      </c>
      <c r="Q4" s="48"/>
      <c r="R4" s="48" t="str">
        <f>Participantes!B12</f>
        <v xml:space="preserve">María Gabriela </v>
      </c>
      <c r="S4" s="48"/>
      <c r="T4" s="48" t="str">
        <f>Participantes!B13</f>
        <v>Laura Valentina</v>
      </c>
      <c r="U4" s="48"/>
      <c r="V4" s="48" t="str">
        <f>Participantes!B14</f>
        <v>Gloria Isabel</v>
      </c>
      <c r="W4" s="48"/>
      <c r="X4" s="48" t="str">
        <f>Participantes!B15</f>
        <v xml:space="preserve">María del Pilar </v>
      </c>
      <c r="Y4" s="48"/>
      <c r="Z4" s="48" t="str">
        <f>Participantes!B16</f>
        <v>Jaime Andres</v>
      </c>
      <c r="AA4" s="48"/>
      <c r="AB4" s="48" t="str">
        <f>Participantes!B17</f>
        <v>Participante 13</v>
      </c>
      <c r="AC4" s="48"/>
      <c r="AD4" s="48" t="str">
        <f>Participantes!B18</f>
        <v>Participante 14</v>
      </c>
      <c r="AE4" s="48"/>
      <c r="AF4" s="48" t="str">
        <f>Participantes!B19</f>
        <v>Participante 15</v>
      </c>
      <c r="AG4" s="48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44" t="str">
        <f>Fixture!C5&amp;" vs "&amp;Fixture!F5</f>
        <v>México vs Sudáfrica</v>
      </c>
      <c r="C6" s="43" t="str">
        <f>IF(ISNUMBER(Fixture!D5),Fixture!D5&amp;"-"&amp;Fixture!E5,"")</f>
        <v>2-0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2</v>
      </c>
      <c r="S6" s="2">
        <v>1</v>
      </c>
      <c r="T6" s="2">
        <v>2</v>
      </c>
      <c r="U6" s="2">
        <v>1</v>
      </c>
      <c r="V6" s="2">
        <v>3</v>
      </c>
      <c r="W6" s="2">
        <v>0</v>
      </c>
      <c r="X6" s="2">
        <v>2</v>
      </c>
      <c r="Y6" s="2">
        <v>0</v>
      </c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45" t="str">
        <f>Fixture!C6&amp;" vs "&amp;Fixture!F6</f>
        <v>Corea del Sur vs Chequia</v>
      </c>
      <c r="C7" s="43" t="str">
        <f>IF(ISNUMBER(Fixture!D6),Fixture!D6&amp;"-"&amp;Fixture!E6,"")</f>
        <v>2-1</v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>
        <v>2</v>
      </c>
      <c r="Y7" s="6">
        <v>1</v>
      </c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44" t="str">
        <f>Fixture!C11&amp;" vs "&amp;Fixture!F11</f>
        <v>Canadá vs Bosnia-Herzegovina</v>
      </c>
      <c r="C12" s="43" t="str">
        <f>IF(ISNUMBER(Fixture!D11),Fixture!D11&amp;"-"&amp;Fixture!E11,"")</f>
        <v>1-1</v>
      </c>
      <c r="D12" s="2">
        <v>0</v>
      </c>
      <c r="E12" s="2">
        <v>2</v>
      </c>
      <c r="F12" s="2">
        <v>2</v>
      </c>
      <c r="G12" s="2">
        <v>0</v>
      </c>
      <c r="H12" s="2">
        <v>2</v>
      </c>
      <c r="I12" s="2">
        <v>2</v>
      </c>
      <c r="J12" s="2">
        <v>1</v>
      </c>
      <c r="K12" s="2">
        <v>1</v>
      </c>
      <c r="L12" s="2">
        <v>2</v>
      </c>
      <c r="M12" s="2">
        <v>0</v>
      </c>
      <c r="N12" s="2">
        <v>1</v>
      </c>
      <c r="O12" s="2">
        <v>1</v>
      </c>
      <c r="P12" s="2">
        <v>1</v>
      </c>
      <c r="Q12" s="2">
        <v>0</v>
      </c>
      <c r="R12" s="2">
        <v>1</v>
      </c>
      <c r="S12" s="2">
        <v>0</v>
      </c>
      <c r="T12" s="2">
        <v>1</v>
      </c>
      <c r="U12" s="2">
        <v>0</v>
      </c>
      <c r="V12" s="2">
        <v>1</v>
      </c>
      <c r="W12" s="2">
        <v>1</v>
      </c>
      <c r="X12" s="2">
        <v>1</v>
      </c>
      <c r="Y12" s="2">
        <v>1</v>
      </c>
      <c r="Z12" s="2">
        <v>2</v>
      </c>
      <c r="AA12" s="2">
        <v>0</v>
      </c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45" t="str">
        <f>Fixture!C12&amp;" vs "&amp;Fixture!F12</f>
        <v>Qatar vs Suiza</v>
      </c>
      <c r="C13" s="43" t="str">
        <f>IF(ISNUMBER(Fixture!D12),Fixture!D12&amp;"-"&amp;Fixture!E12,"")</f>
        <v>1-1</v>
      </c>
      <c r="D13" s="6">
        <v>0</v>
      </c>
      <c r="E13" s="6">
        <v>2</v>
      </c>
      <c r="F13" s="6">
        <v>0</v>
      </c>
      <c r="G13" s="6">
        <v>2</v>
      </c>
      <c r="H13" s="6">
        <v>0</v>
      </c>
      <c r="I13" s="6">
        <v>2</v>
      </c>
      <c r="J13" s="6">
        <v>2</v>
      </c>
      <c r="K13" s="6">
        <v>1</v>
      </c>
      <c r="L13" s="6">
        <v>0</v>
      </c>
      <c r="M13" s="6">
        <v>3</v>
      </c>
      <c r="N13" s="6">
        <v>0</v>
      </c>
      <c r="O13" s="6">
        <v>2</v>
      </c>
      <c r="P13" s="6"/>
      <c r="Q13" s="6"/>
      <c r="R13" s="6"/>
      <c r="S13" s="6"/>
      <c r="T13" s="6">
        <v>0</v>
      </c>
      <c r="U13" s="6">
        <v>2</v>
      </c>
      <c r="V13" s="6">
        <v>1</v>
      </c>
      <c r="W13" s="6">
        <v>2</v>
      </c>
      <c r="X13" s="6">
        <v>0</v>
      </c>
      <c r="Y13" s="6">
        <v>3</v>
      </c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44" t="str">
        <f>Fixture!C17&amp;" vs "&amp;Fixture!F17</f>
        <v>Brasil vs Marruecos</v>
      </c>
      <c r="C18" s="43" t="str">
        <f>IF(ISNUMBER(Fixture!D17),Fixture!D17&amp;"-"&amp;Fixture!E17,"")</f>
        <v>1-1</v>
      </c>
      <c r="D18" s="2">
        <v>1</v>
      </c>
      <c r="E18" s="2">
        <v>1</v>
      </c>
      <c r="F18" s="2">
        <v>1</v>
      </c>
      <c r="G18" s="2">
        <v>0</v>
      </c>
      <c r="H18" s="2">
        <v>2</v>
      </c>
      <c r="I18" s="2">
        <v>1</v>
      </c>
      <c r="J18" s="2">
        <v>2</v>
      </c>
      <c r="K18" s="2">
        <v>2</v>
      </c>
      <c r="L18" s="2">
        <v>2</v>
      </c>
      <c r="M18" s="2">
        <v>1</v>
      </c>
      <c r="N18" s="2">
        <v>2</v>
      </c>
      <c r="O18" s="2">
        <v>1</v>
      </c>
      <c r="P18" s="2">
        <v>3</v>
      </c>
      <c r="Q18" s="2">
        <v>1</v>
      </c>
      <c r="R18" s="2"/>
      <c r="S18" s="2"/>
      <c r="T18" s="2">
        <v>2</v>
      </c>
      <c r="U18" s="2">
        <v>1</v>
      </c>
      <c r="V18" s="2">
        <v>2</v>
      </c>
      <c r="W18" s="2">
        <v>2</v>
      </c>
      <c r="X18" s="2">
        <v>2</v>
      </c>
      <c r="Y18" s="2">
        <v>1</v>
      </c>
      <c r="Z18" s="2">
        <v>2</v>
      </c>
      <c r="AA18" s="2">
        <v>0</v>
      </c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45" t="str">
        <f>Fixture!C18&amp;" vs "&amp;Fixture!F18</f>
        <v>Haití vs Escocia</v>
      </c>
      <c r="C19" s="43" t="str">
        <f>IF(ISNUMBER(Fixture!D18),Fixture!D18&amp;"-"&amp;Fixture!E18,"")</f>
        <v>0-1</v>
      </c>
      <c r="D19" s="6">
        <v>0</v>
      </c>
      <c r="E19" s="6">
        <v>2</v>
      </c>
      <c r="F19" s="6">
        <v>1</v>
      </c>
      <c r="G19" s="6">
        <v>2</v>
      </c>
      <c r="H19" s="6">
        <v>0</v>
      </c>
      <c r="I19" s="6">
        <v>2</v>
      </c>
      <c r="J19" s="6">
        <v>0</v>
      </c>
      <c r="K19" s="6">
        <v>4</v>
      </c>
      <c r="L19" s="6">
        <v>0</v>
      </c>
      <c r="M19" s="6">
        <v>2</v>
      </c>
      <c r="N19" s="6">
        <v>0</v>
      </c>
      <c r="O19" s="6">
        <v>3</v>
      </c>
      <c r="P19" s="6">
        <v>1</v>
      </c>
      <c r="Q19" s="6">
        <v>1</v>
      </c>
      <c r="R19" s="6"/>
      <c r="S19" s="6"/>
      <c r="T19" s="6">
        <v>0</v>
      </c>
      <c r="U19" s="6">
        <v>2</v>
      </c>
      <c r="V19" s="6">
        <v>0</v>
      </c>
      <c r="W19" s="6">
        <v>2</v>
      </c>
      <c r="X19" s="6">
        <v>1</v>
      </c>
      <c r="Y19" s="6">
        <v>3</v>
      </c>
      <c r="Z19" s="6">
        <v>1</v>
      </c>
      <c r="AA19" s="6">
        <v>1</v>
      </c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44" t="str">
        <f>Fixture!C23&amp;" vs "&amp;Fixture!F23</f>
        <v>Estados Unidos vs Paraguay</v>
      </c>
      <c r="C24" s="43" t="str">
        <f>IF(ISNUMBER(Fixture!D23),Fixture!D23&amp;"-"&amp;Fixture!E23,"")</f>
        <v>4-1</v>
      </c>
      <c r="D24" s="2">
        <v>2</v>
      </c>
      <c r="E24" s="2">
        <v>0</v>
      </c>
      <c r="F24" s="2">
        <v>0</v>
      </c>
      <c r="G24" s="2">
        <v>1</v>
      </c>
      <c r="H24" s="2">
        <v>1</v>
      </c>
      <c r="I24" s="2">
        <v>0</v>
      </c>
      <c r="J24" s="2">
        <v>3</v>
      </c>
      <c r="K24" s="2">
        <v>1</v>
      </c>
      <c r="L24" s="2">
        <v>1</v>
      </c>
      <c r="M24" s="2">
        <v>2</v>
      </c>
      <c r="N24" s="2">
        <v>1</v>
      </c>
      <c r="O24" s="2">
        <v>2</v>
      </c>
      <c r="P24" s="2">
        <v>1</v>
      </c>
      <c r="Q24" s="2">
        <v>1</v>
      </c>
      <c r="R24" s="2">
        <v>2</v>
      </c>
      <c r="S24" s="2">
        <v>1</v>
      </c>
      <c r="T24" s="2">
        <v>2</v>
      </c>
      <c r="U24" s="2">
        <v>1</v>
      </c>
      <c r="V24" s="2">
        <v>1</v>
      </c>
      <c r="W24" s="2">
        <v>1</v>
      </c>
      <c r="X24" s="2">
        <v>2</v>
      </c>
      <c r="Y24" s="2">
        <v>1</v>
      </c>
      <c r="Z24" s="2">
        <v>2</v>
      </c>
      <c r="AA24" s="2">
        <v>1</v>
      </c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45" t="str">
        <f>Fixture!C24&amp;" vs "&amp;Fixture!F24</f>
        <v>Australia vs Turquía</v>
      </c>
      <c r="C25" s="43" t="str">
        <f>IF(ISNUMBER(Fixture!D24),Fixture!D24&amp;"-"&amp;Fixture!E24,"")</f>
        <v>2-0</v>
      </c>
      <c r="D25" s="6">
        <v>1</v>
      </c>
      <c r="E25" s="6">
        <v>2</v>
      </c>
      <c r="F25" s="6">
        <v>1</v>
      </c>
      <c r="G25" s="6">
        <v>1</v>
      </c>
      <c r="H25" s="6">
        <v>1</v>
      </c>
      <c r="I25" s="6">
        <v>1</v>
      </c>
      <c r="J25" s="6">
        <v>0</v>
      </c>
      <c r="K25" s="6">
        <v>2</v>
      </c>
      <c r="L25" s="6">
        <v>1</v>
      </c>
      <c r="M25" s="6">
        <v>1</v>
      </c>
      <c r="N25" s="6">
        <v>1</v>
      </c>
      <c r="O25" s="6">
        <v>3</v>
      </c>
      <c r="P25" s="6">
        <v>1</v>
      </c>
      <c r="Q25" s="6">
        <v>2</v>
      </c>
      <c r="R25" s="6"/>
      <c r="S25" s="6"/>
      <c r="T25" s="6">
        <v>1</v>
      </c>
      <c r="U25" s="6">
        <v>2</v>
      </c>
      <c r="V25" s="6">
        <v>1</v>
      </c>
      <c r="W25" s="6">
        <v>2</v>
      </c>
      <c r="X25" s="6">
        <v>1</v>
      </c>
      <c r="Y25" s="6">
        <v>1</v>
      </c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44" t="str">
        <f>Fixture!C29&amp;" vs "&amp;Fixture!F29</f>
        <v>Alemania vs Curazao</v>
      </c>
      <c r="C30" s="43" t="str">
        <f>IF(ISNUMBER(Fixture!D29),Fixture!D29&amp;"-"&amp;Fixture!E29,"")</f>
        <v>7-1</v>
      </c>
      <c r="D30" s="2">
        <v>5</v>
      </c>
      <c r="E30" s="2">
        <v>0</v>
      </c>
      <c r="F30" s="2">
        <v>3</v>
      </c>
      <c r="G30" s="2">
        <v>0</v>
      </c>
      <c r="H30" s="2">
        <v>7</v>
      </c>
      <c r="I30" s="2">
        <v>0</v>
      </c>
      <c r="J30" s="2">
        <v>6</v>
      </c>
      <c r="K30" s="2">
        <v>0</v>
      </c>
      <c r="L30" s="2">
        <v>4</v>
      </c>
      <c r="M30" s="2">
        <v>0</v>
      </c>
      <c r="N30" s="2">
        <v>6</v>
      </c>
      <c r="O30" s="2">
        <v>0</v>
      </c>
      <c r="P30" s="2">
        <v>2</v>
      </c>
      <c r="Q30" s="2">
        <v>0</v>
      </c>
      <c r="R30" s="2">
        <v>3</v>
      </c>
      <c r="S30" s="2">
        <v>0</v>
      </c>
      <c r="T30" s="2">
        <v>3</v>
      </c>
      <c r="U30" s="2">
        <v>0</v>
      </c>
      <c r="V30" s="2">
        <v>4</v>
      </c>
      <c r="W30" s="2">
        <v>0</v>
      </c>
      <c r="X30" s="2">
        <v>4</v>
      </c>
      <c r="Y30" s="2">
        <v>0</v>
      </c>
      <c r="Z30" s="2">
        <v>2</v>
      </c>
      <c r="AA30" s="2">
        <v>1</v>
      </c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45" t="str">
        <f>Fixture!C30&amp;" vs "&amp;Fixture!F30</f>
        <v>Costa de Marfil vs Ecuador</v>
      </c>
      <c r="C31" s="43" t="str">
        <f>IF(ISNUMBER(Fixture!D30),Fixture!D30&amp;"-"&amp;Fixture!E30,"")</f>
        <v>1-0</v>
      </c>
      <c r="D31" s="6">
        <v>1</v>
      </c>
      <c r="E31" s="6">
        <v>1</v>
      </c>
      <c r="F31" s="6">
        <v>1</v>
      </c>
      <c r="G31" s="6">
        <v>3</v>
      </c>
      <c r="H31" s="6">
        <v>2</v>
      </c>
      <c r="I31" s="6">
        <v>2</v>
      </c>
      <c r="J31" s="6">
        <v>0</v>
      </c>
      <c r="K31" s="6">
        <v>2</v>
      </c>
      <c r="L31" s="6">
        <v>2</v>
      </c>
      <c r="M31" s="6">
        <v>1</v>
      </c>
      <c r="N31" s="6">
        <v>0</v>
      </c>
      <c r="O31" s="6">
        <v>1</v>
      </c>
      <c r="P31" s="6">
        <v>1</v>
      </c>
      <c r="Q31" s="6">
        <v>1</v>
      </c>
      <c r="R31" s="6">
        <v>1</v>
      </c>
      <c r="S31" s="6">
        <v>1</v>
      </c>
      <c r="T31" s="6">
        <v>0</v>
      </c>
      <c r="U31" s="6">
        <v>1</v>
      </c>
      <c r="V31" s="6">
        <v>1</v>
      </c>
      <c r="W31" s="6">
        <v>1</v>
      </c>
      <c r="X31" s="6">
        <v>2</v>
      </c>
      <c r="Y31" s="6">
        <v>1</v>
      </c>
      <c r="Z31" s="6">
        <v>3</v>
      </c>
      <c r="AA31" s="6">
        <v>0</v>
      </c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44" t="str">
        <f>Fixture!C35&amp;" vs "&amp;Fixture!F35</f>
        <v>Países Bajos vs Japón</v>
      </c>
      <c r="C36" s="43" t="str">
        <f>IF(ISNUMBER(Fixture!D35),Fixture!D35&amp;"-"&amp;Fixture!E35,"")</f>
        <v>2-2</v>
      </c>
      <c r="D36" s="2">
        <v>2</v>
      </c>
      <c r="E36" s="2">
        <v>2</v>
      </c>
      <c r="F36" s="2">
        <v>2</v>
      </c>
      <c r="G36" s="2">
        <v>2</v>
      </c>
      <c r="H36" s="2">
        <v>1</v>
      </c>
      <c r="I36" s="2">
        <v>1</v>
      </c>
      <c r="J36" s="2">
        <v>3</v>
      </c>
      <c r="K36" s="2">
        <v>2</v>
      </c>
      <c r="L36" s="2">
        <v>1</v>
      </c>
      <c r="M36" s="2">
        <v>1</v>
      </c>
      <c r="N36" s="2">
        <v>2</v>
      </c>
      <c r="O36" s="2">
        <v>1</v>
      </c>
      <c r="P36" s="2">
        <v>1</v>
      </c>
      <c r="Q36" s="2">
        <v>2</v>
      </c>
      <c r="R36" s="2">
        <v>2</v>
      </c>
      <c r="S36" s="2">
        <v>1</v>
      </c>
      <c r="T36" s="2">
        <v>2</v>
      </c>
      <c r="U36" s="2">
        <v>1</v>
      </c>
      <c r="V36" s="2">
        <v>2</v>
      </c>
      <c r="W36" s="2">
        <v>2</v>
      </c>
      <c r="X36" s="2">
        <v>1</v>
      </c>
      <c r="Y36" s="2">
        <v>1</v>
      </c>
      <c r="Z36" s="2">
        <v>0</v>
      </c>
      <c r="AA36" s="2">
        <v>2</v>
      </c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>5-1</v>
      </c>
      <c r="D37" s="6">
        <v>2</v>
      </c>
      <c r="E37" s="6">
        <v>0</v>
      </c>
      <c r="F37" s="6">
        <v>2</v>
      </c>
      <c r="G37" s="6">
        <v>1</v>
      </c>
      <c r="H37" s="6">
        <v>1</v>
      </c>
      <c r="I37" s="6">
        <v>1</v>
      </c>
      <c r="J37" s="6">
        <v>1</v>
      </c>
      <c r="K37" s="6">
        <v>0</v>
      </c>
      <c r="L37" s="6">
        <v>1</v>
      </c>
      <c r="M37" s="6">
        <v>0</v>
      </c>
      <c r="N37" s="6">
        <v>2</v>
      </c>
      <c r="O37" s="6">
        <v>0</v>
      </c>
      <c r="P37" s="6">
        <v>2</v>
      </c>
      <c r="Q37" s="6">
        <v>1</v>
      </c>
      <c r="R37" s="6">
        <v>1</v>
      </c>
      <c r="S37" s="6">
        <v>0</v>
      </c>
      <c r="T37" s="6">
        <v>1</v>
      </c>
      <c r="U37" s="6">
        <v>0</v>
      </c>
      <c r="V37" s="6">
        <v>2</v>
      </c>
      <c r="W37" s="6">
        <v>0</v>
      </c>
      <c r="X37" s="6">
        <v>2</v>
      </c>
      <c r="Y37" s="6">
        <v>0</v>
      </c>
      <c r="Z37" s="6">
        <v>2</v>
      </c>
      <c r="AA37" s="6">
        <v>0</v>
      </c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>
        <v>2</v>
      </c>
      <c r="E42" s="2">
        <v>1</v>
      </c>
      <c r="F42" s="2">
        <v>2</v>
      </c>
      <c r="G42" s="2">
        <v>1</v>
      </c>
      <c r="H42" s="2">
        <v>2</v>
      </c>
      <c r="I42" s="2">
        <v>2</v>
      </c>
      <c r="J42" s="2">
        <v>1</v>
      </c>
      <c r="K42" s="2">
        <v>1</v>
      </c>
      <c r="L42" s="2">
        <v>2</v>
      </c>
      <c r="M42" s="2">
        <v>0</v>
      </c>
      <c r="N42" s="2">
        <v>1</v>
      </c>
      <c r="O42" s="2">
        <v>1</v>
      </c>
      <c r="P42" s="2">
        <v>2</v>
      </c>
      <c r="Q42" s="2">
        <v>2</v>
      </c>
      <c r="R42" s="2">
        <v>2</v>
      </c>
      <c r="S42" s="2">
        <v>2</v>
      </c>
      <c r="T42" s="2">
        <v>2</v>
      </c>
      <c r="U42" s="2">
        <v>1</v>
      </c>
      <c r="V42" s="2">
        <v>2</v>
      </c>
      <c r="W42" s="2">
        <v>1</v>
      </c>
      <c r="X42" s="2">
        <v>2</v>
      </c>
      <c r="Y42" s="2">
        <v>1</v>
      </c>
      <c r="Z42" s="2">
        <v>2</v>
      </c>
      <c r="AA42" s="2">
        <v>0</v>
      </c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>
        <v>1</v>
      </c>
      <c r="E43" s="6">
        <v>1</v>
      </c>
      <c r="F43" s="6">
        <v>3</v>
      </c>
      <c r="G43" s="6">
        <v>0</v>
      </c>
      <c r="H43" s="6">
        <v>2</v>
      </c>
      <c r="I43" s="6">
        <v>0</v>
      </c>
      <c r="J43" s="6">
        <v>2</v>
      </c>
      <c r="K43" s="6">
        <v>1</v>
      </c>
      <c r="L43" s="6">
        <v>0</v>
      </c>
      <c r="M43" s="6">
        <v>2</v>
      </c>
      <c r="N43" s="6">
        <v>3</v>
      </c>
      <c r="O43" s="6">
        <v>1</v>
      </c>
      <c r="P43" s="6">
        <v>0</v>
      </c>
      <c r="Q43" s="6">
        <v>2</v>
      </c>
      <c r="R43" s="6">
        <v>0</v>
      </c>
      <c r="S43" s="6">
        <v>2</v>
      </c>
      <c r="T43" s="6">
        <v>1</v>
      </c>
      <c r="U43" s="6">
        <v>0</v>
      </c>
      <c r="V43" s="6">
        <v>2</v>
      </c>
      <c r="W43" s="6">
        <v>0</v>
      </c>
      <c r="X43" s="6">
        <v>2</v>
      </c>
      <c r="Y43" s="6">
        <v>0</v>
      </c>
      <c r="Z43" s="6">
        <v>1</v>
      </c>
      <c r="AA43" s="6">
        <v>0</v>
      </c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>0-0</v>
      </c>
      <c r="D48" s="2">
        <v>4</v>
      </c>
      <c r="E48" s="2">
        <v>1</v>
      </c>
      <c r="F48" s="2">
        <v>4</v>
      </c>
      <c r="G48" s="2">
        <v>1</v>
      </c>
      <c r="H48" s="2">
        <v>3</v>
      </c>
      <c r="I48" s="2">
        <v>1</v>
      </c>
      <c r="J48" s="2">
        <v>3</v>
      </c>
      <c r="K48" s="2">
        <v>1</v>
      </c>
      <c r="L48" s="2">
        <v>4</v>
      </c>
      <c r="M48" s="2">
        <v>1</v>
      </c>
      <c r="N48" s="2">
        <v>4</v>
      </c>
      <c r="O48" s="2">
        <v>1</v>
      </c>
      <c r="P48" s="2">
        <v>4</v>
      </c>
      <c r="Q48" s="2">
        <v>0</v>
      </c>
      <c r="R48" s="2">
        <v>5</v>
      </c>
      <c r="S48" s="2">
        <v>1</v>
      </c>
      <c r="T48" s="2">
        <v>3</v>
      </c>
      <c r="U48" s="2">
        <v>0</v>
      </c>
      <c r="V48" s="2">
        <v>3</v>
      </c>
      <c r="W48" s="2">
        <v>0</v>
      </c>
      <c r="X48" s="2">
        <v>3</v>
      </c>
      <c r="Y48" s="2">
        <v>0</v>
      </c>
      <c r="Z48" s="2">
        <v>4</v>
      </c>
      <c r="AA48" s="2">
        <v>0</v>
      </c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>
        <v>1</v>
      </c>
      <c r="E49" s="6">
        <v>3</v>
      </c>
      <c r="F49" s="6">
        <v>1</v>
      </c>
      <c r="G49" s="6">
        <v>3</v>
      </c>
      <c r="H49" s="6">
        <v>2</v>
      </c>
      <c r="I49" s="6">
        <v>3</v>
      </c>
      <c r="J49" s="6">
        <v>0</v>
      </c>
      <c r="K49" s="6">
        <v>2</v>
      </c>
      <c r="L49" s="6">
        <v>1</v>
      </c>
      <c r="M49" s="6">
        <v>3</v>
      </c>
      <c r="N49" s="6">
        <v>1</v>
      </c>
      <c r="O49" s="6">
        <v>2</v>
      </c>
      <c r="P49" s="6">
        <v>1</v>
      </c>
      <c r="Q49" s="6">
        <v>2</v>
      </c>
      <c r="R49" s="6">
        <v>1</v>
      </c>
      <c r="S49" s="6">
        <v>2</v>
      </c>
      <c r="T49" s="6">
        <v>1</v>
      </c>
      <c r="U49" s="6">
        <v>2</v>
      </c>
      <c r="V49" s="6">
        <v>0</v>
      </c>
      <c r="W49" s="6">
        <v>2</v>
      </c>
      <c r="X49" s="6">
        <v>0</v>
      </c>
      <c r="Y49" s="6">
        <v>2</v>
      </c>
      <c r="Z49" s="6">
        <v>1</v>
      </c>
      <c r="AA49" s="6">
        <v>2</v>
      </c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2026-06-15T18:23:32Z</dcterms:modified>
  <dc:language>en-US</dc:language>
</cp:coreProperties>
</file>