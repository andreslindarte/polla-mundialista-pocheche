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cuments\MIOS\polla mundialista github\polla-mundialista-pocheche\"/>
    </mc:Choice>
  </mc:AlternateContent>
  <xr:revisionPtr revIDLastSave="0" documentId="13_ncr:1_{926F717B-385F-4714-BEA0-7C9E776B88C7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Participantes" sheetId="1" r:id="rId1"/>
    <sheet name="Fixture" sheetId="2" r:id="rId2"/>
    <sheet name="Predi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F4" i="3" l="1"/>
  <c r="AD4" i="3"/>
  <c r="AB4" i="3"/>
  <c r="Z4" i="3"/>
  <c r="X4" i="3"/>
  <c r="V4" i="3"/>
  <c r="T4" i="3"/>
  <c r="R4" i="3"/>
  <c r="P4" i="3"/>
  <c r="N4" i="3"/>
  <c r="L4" i="3"/>
  <c r="J4" i="3"/>
  <c r="H4" i="3"/>
  <c r="F4" i="3"/>
  <c r="D4" i="3"/>
  <c r="D16" i="1"/>
  <c r="D17" i="1"/>
  <c r="D18" i="1"/>
  <c r="D19" i="1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<sst xmlns="http://schemas.openxmlformats.org/spreadsheetml/2006/main" count="355" uniqueCount="113">
  <si>
    <t>🏆  QUINIELA MUNDIAL 2026</t>
  </si>
  <si>
    <t>Acierto único = 3 pts  |  Acierto compartido (2 o más) = 1 pt cada uno  |  Sin acierto = 0 pts</t>
  </si>
  <si>
    <t>#</t>
  </si>
  <si>
    <t>Participante</t>
  </si>
  <si>
    <t>Puntos</t>
  </si>
  <si>
    <t>Posición</t>
  </si>
  <si>
    <t>Participante 13</t>
  </si>
  <si>
    <t>Participante 14</t>
  </si>
  <si>
    <t>Participante 15</t>
  </si>
  <si>
    <t>⚽  FIXTURE FASE DE GRUPOS — FIFA WORLD CUP 2026</t>
  </si>
  <si>
    <t>Ingresa el resultado oficial en las columnas verdes después de cada partido</t>
  </si>
  <si>
    <t>Grupo</t>
  </si>
  <si>
    <t>Local</t>
  </si>
  <si>
    <t>Goles
Local</t>
  </si>
  <si>
    <t>Goles
Visitante</t>
  </si>
  <si>
    <t>Visitante</t>
  </si>
  <si>
    <t>Fecha</t>
  </si>
  <si>
    <t>A</t>
  </si>
  <si>
    <t>México</t>
  </si>
  <si>
    <t>Sudáfrica</t>
  </si>
  <si>
    <t>11 jun</t>
  </si>
  <si>
    <t>Corea del Sur</t>
  </si>
  <si>
    <t>Chequia</t>
  </si>
  <si>
    <t>18 jun</t>
  </si>
  <si>
    <t>24 jun</t>
  </si>
  <si>
    <t>B</t>
  </si>
  <si>
    <t>Canadá</t>
  </si>
  <si>
    <t>Bosnia-Herzegovina</t>
  </si>
  <si>
    <t>12 jun</t>
  </si>
  <si>
    <t>Qatar</t>
  </si>
  <si>
    <t>Suiza</t>
  </si>
  <si>
    <t>13 jun</t>
  </si>
  <si>
    <t>C</t>
  </si>
  <si>
    <t>Brasil</t>
  </si>
  <si>
    <t>Marruecos</t>
  </si>
  <si>
    <t>Haití</t>
  </si>
  <si>
    <t>Escocia</t>
  </si>
  <si>
    <t>19 jun</t>
  </si>
  <si>
    <t>D</t>
  </si>
  <si>
    <t>Estados Unidos</t>
  </si>
  <si>
    <t>Paraguay</t>
  </si>
  <si>
    <t>Australia</t>
  </si>
  <si>
    <t>Turquía</t>
  </si>
  <si>
    <t>25 jun</t>
  </si>
  <si>
    <t>E</t>
  </si>
  <si>
    <t>Alemania</t>
  </si>
  <si>
    <t>Curazao</t>
  </si>
  <si>
    <t>14 jun</t>
  </si>
  <si>
    <t>Costa de Marfil</t>
  </si>
  <si>
    <t>Ecuador</t>
  </si>
  <si>
    <t>20 jun</t>
  </si>
  <si>
    <t>F</t>
  </si>
  <si>
    <t>Países Bajos</t>
  </si>
  <si>
    <t>Japón</t>
  </si>
  <si>
    <t>Suecia</t>
  </si>
  <si>
    <t>Túnez</t>
  </si>
  <si>
    <t>G</t>
  </si>
  <si>
    <t>Bélgica</t>
  </si>
  <si>
    <t>Egipto</t>
  </si>
  <si>
    <t>15 jun</t>
  </si>
  <si>
    <t>Irán</t>
  </si>
  <si>
    <t>Nueva Zelanda</t>
  </si>
  <si>
    <t>21 jun</t>
  </si>
  <si>
    <t>26 jun</t>
  </si>
  <si>
    <t>H</t>
  </si>
  <si>
    <t>España</t>
  </si>
  <si>
    <t>Cabo Verde</t>
  </si>
  <si>
    <t>Arabia Saudita</t>
  </si>
  <si>
    <t>Uruguay</t>
  </si>
  <si>
    <t>I</t>
  </si>
  <si>
    <t>Francia</t>
  </si>
  <si>
    <t>Senegal</t>
  </si>
  <si>
    <t>16 jun</t>
  </si>
  <si>
    <t>Irak</t>
  </si>
  <si>
    <t>Noruega</t>
  </si>
  <si>
    <t>22 jun</t>
  </si>
  <si>
    <t>J</t>
  </si>
  <si>
    <t>Argentina</t>
  </si>
  <si>
    <t>Argelia</t>
  </si>
  <si>
    <t>Austria</t>
  </si>
  <si>
    <t>Jordania</t>
  </si>
  <si>
    <t>27 jun</t>
  </si>
  <si>
    <t>K</t>
  </si>
  <si>
    <t>Portugal</t>
  </si>
  <si>
    <t>Rep. D. Congo</t>
  </si>
  <si>
    <t>17 jun</t>
  </si>
  <si>
    <t>Uzbekistán</t>
  </si>
  <si>
    <t>Colombia</t>
  </si>
  <si>
    <t>23 jun</t>
  </si>
  <si>
    <t>L</t>
  </si>
  <si>
    <t>Inglaterra</t>
  </si>
  <si>
    <t>Croacia</t>
  </si>
  <si>
    <t>Ghana</t>
  </si>
  <si>
    <t>Panamá</t>
  </si>
  <si>
    <t>🎯  PREDICCIONES — FASE DE GRUPOS MUNDIAL 2026</t>
  </si>
  <si>
    <t>Ingresa el marcador que predices (L = Goles Local  |  V = Goles Visitante)</t>
  </si>
  <si>
    <t>Partido</t>
  </si>
  <si>
    <t>Resultado
Real</t>
  </si>
  <si>
    <t>L – V</t>
  </si>
  <si>
    <t>V</t>
  </si>
  <si>
    <t>Andres Jesús</t>
  </si>
  <si>
    <t>Leonardo Fabio</t>
  </si>
  <si>
    <t>Martha Cenidia</t>
  </si>
  <si>
    <t>Freddy Ramón</t>
  </si>
  <si>
    <t xml:space="preserve">Juan Camilo </t>
  </si>
  <si>
    <t xml:space="preserve">Juan David </t>
  </si>
  <si>
    <t>María Trinidad</t>
  </si>
  <si>
    <t xml:space="preserve">María Gabriela </t>
  </si>
  <si>
    <t>Laura Valentina</t>
  </si>
  <si>
    <t>Gloria Isabel</t>
  </si>
  <si>
    <t xml:space="preserve">María del Pilar </t>
  </si>
  <si>
    <t>Jaime Andres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</si>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</sst>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9"/>
      <color rgb="FF1A3A5C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1A3A5C"/>
      <name val="Arial"/>
      <family val="2"/>
    </font>
    <font>
      <b/>
      <sz val="11"/>
      <color rgb="FFE86829"/>
      <name val="Arial"/>
      <family val="2"/>
    </font>
    <font>
      <b/>
      <sz val="14"/>
      <color rgb="FFFFFFFF"/>
      <name val="Arial"/>
      <family val="2"/>
    </font>
    <font>
      <b/>
      <sz val="10"/>
      <color rgb="FF1A3A5C"/>
      <name val="Arial"/>
      <family val="2"/>
    </font>
    <font>
      <b/>
      <sz val="12"/>
      <color rgb="FF217346"/>
      <name val="Arial"/>
      <family val="2"/>
    </font>
    <font>
      <b/>
      <sz val="10"/>
      <color rgb="FF2E6DA4"/>
      <name val="Arial"/>
      <family val="2"/>
    </font>
    <font>
      <b/>
      <sz val="10"/>
      <color rgb="FF217346"/>
      <name val="Arial"/>
      <family val="2"/>
    </font>
    <font>
      <b/>
      <sz val="10"/>
      <color rgb="FF7B3F00"/>
      <name val="Arial"/>
      <family val="2"/>
    </font>
    <font>
      <b/>
      <sz val="10"/>
      <color rgb="FF6B2D8B"/>
      <name val="Arial"/>
      <family val="2"/>
    </font>
    <font>
      <b/>
      <sz val="10"/>
      <color rgb="FFC00000"/>
      <name val="Arial"/>
      <family val="2"/>
    </font>
    <font>
      <b/>
      <sz val="10"/>
      <color rgb="FFE86829"/>
      <name val="Arial"/>
      <family val="2"/>
    </font>
    <font>
      <b/>
      <sz val="10"/>
      <color rgb="FF1A6B5C"/>
      <name val="Arial"/>
      <family val="2"/>
    </font>
    <font>
      <b/>
      <sz val="10"/>
      <color rgb="FF4A4A00"/>
      <name val="Arial"/>
      <family val="2"/>
    </font>
    <font>
      <b/>
      <sz val="10"/>
      <color rgb="FF003366"/>
      <name val="Arial"/>
      <family val="2"/>
    </font>
    <font>
      <b/>
      <sz val="10"/>
      <color rgb="FF5C1A3A"/>
      <name val="Arial"/>
      <family val="2"/>
    </font>
    <font>
      <b/>
      <sz val="10"/>
      <color rgb="FF1A5C3A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A3A5C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2E6DA4"/>
        <bgColor rgb="FF1A6B5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217346"/>
        <bgColor rgb="FF1A6B5C"/>
      </patternFill>
    </fill>
    <fill>
      <patternFill patternType="solid">
        <fgColor theme="6" tint="0.39997558519241921"/>
        <bgColor rgb="FFE2EFDA"/>
      </patternFill>
    </fill>
    <fill>
      <patternFill patternType="solid">
        <fgColor theme="6" tint="0.39997558519241921"/>
        <bgColor rgb="FFF2F2F2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5C3A"/>
      <rgbColor rgb="FF000080"/>
      <rgbColor rgb="FF808000"/>
      <rgbColor rgb="FF800080"/>
      <rgbColor rgb="FF1A6B5C"/>
      <rgbColor rgb="FFBBBBBB"/>
      <rgbColor rgb="FF808080"/>
      <rgbColor rgb="FF9999FF"/>
      <rgbColor rgb="FF6B2D8B"/>
      <rgbColor rgb="FFF2F2F2"/>
      <rgbColor rgb="FFCCFFFF"/>
      <rgbColor rgb="FF5C1A3A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217346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6829"/>
      <rgbColor rgb="FF666699"/>
      <rgbColor rgb="FF969696"/>
      <rgbColor rgb="FF003366"/>
      <rgbColor rgb="FF339966"/>
      <rgbColor rgb="FF003300"/>
      <rgbColor rgb="FF4A4A00"/>
      <rgbColor rgb="FF7B3F00"/>
      <rgbColor rgb="FF993366"/>
      <rgbColor rgb="FF333399"/>
      <rgbColor rgb="FF1A3A5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zoomScaleNormal="100" workbookViewId="0">
      <selection activeCell="B17" sqref="B17"/>
    </sheetView>
  </sheetViews>
  <sheetFormatPr baseColWidth="10" defaultColWidth="8.7109375" defaultRowHeight="15" x14ac:dyDescent="0.25"/>
  <cols>
    <col min="1" max="1" width="6" customWidth="1"/>
    <col min="2" max="2" width="26" customWidth="1"/>
    <col min="3" max="4" width="14" customWidth="1"/>
  </cols>
  <sheetData>
    <row r="1" spans="1:4" ht="36" customHeight="1" x14ac:dyDescent="0.25">
      <c r="A1" s="46" t="s">
        <v>0</v>
      </c>
      <c r="B1" s="46"/>
      <c r="C1" s="46"/>
      <c r="D1" s="46"/>
    </row>
    <row r="2" spans="1:4" ht="19.5" customHeight="1" x14ac:dyDescent="0.25">
      <c r="A2" s="45" t="s">
        <v>1</v>
      </c>
      <c r="B2" s="45"/>
      <c r="C2" s="45"/>
      <c r="D2" s="45"/>
    </row>
    <row r="3" spans="1:4" ht="6" customHeight="1" x14ac:dyDescent="0.25"/>
    <row r="4" spans="1:4" ht="25.5" customHeight="1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ht="21.75" customHeight="1" x14ac:dyDescent="0.25">
      <c r="A5" s="2">
        <v>1</v>
      </c>
      <c r="B5" s="3" t="s">
        <v>100</v>
      </c>
      <c r="C5" s="4">
        <v>0</v>
      </c>
      <c r="D5" s="5">
        <f>RANK(C5,C5:C19,0)</f>
        <v>1</v>
      </c>
    </row>
    <row r="6" spans="1:4" ht="21.75" customHeight="1" x14ac:dyDescent="0.25">
      <c r="A6" s="6">
        <v>2</v>
      </c>
      <c r="B6" s="7" t="s">
        <v>101</v>
      </c>
      <c r="C6" s="8">
        <v>0</v>
      </c>
      <c r="D6" s="9">
        <f>RANK(C6,C5:C19,0)</f>
        <v>1</v>
      </c>
    </row>
    <row r="7" spans="1:4" ht="21.75" customHeight="1" x14ac:dyDescent="0.25">
      <c r="A7" s="2">
        <v>3</v>
      </c>
      <c r="B7" s="3" t="s">
        <v>102</v>
      </c>
      <c r="C7" s="4">
        <v>0</v>
      </c>
      <c r="D7" s="5">
        <f>RANK(C7,C5:C19,0)</f>
        <v>1</v>
      </c>
    </row>
    <row r="8" spans="1:4" ht="21.75" customHeight="1" x14ac:dyDescent="0.25">
      <c r="A8" s="6">
        <v>4</v>
      </c>
      <c r="B8" s="7" t="s">
        <v>103</v>
      </c>
      <c r="C8" s="8">
        <v>0</v>
      </c>
      <c r="D8" s="9">
        <f>RANK(C8,C5:C19,0)</f>
        <v>1</v>
      </c>
    </row>
    <row r="9" spans="1:4" ht="21.75" customHeight="1" x14ac:dyDescent="0.25">
      <c r="A9" s="2">
        <v>5</v>
      </c>
      <c r="B9" s="3" t="s">
        <v>104</v>
      </c>
      <c r="C9" s="4">
        <v>0</v>
      </c>
      <c r="D9" s="5">
        <f>RANK(C9,C5:C19,0)</f>
        <v>1</v>
      </c>
    </row>
    <row r="10" spans="1:4" ht="21.75" customHeight="1" x14ac:dyDescent="0.25">
      <c r="A10" s="6">
        <v>6</v>
      </c>
      <c r="B10" s="7" t="s">
        <v>105</v>
      </c>
      <c r="C10" s="8">
        <v>0</v>
      </c>
      <c r="D10" s="9">
        <f>RANK(C10,C5:C19,0)</f>
        <v>1</v>
      </c>
    </row>
    <row r="11" spans="1:4" ht="21.75" customHeight="1" x14ac:dyDescent="0.25">
      <c r="A11" s="2">
        <v>7</v>
      </c>
      <c r="B11" s="3" t="s">
        <v>106</v>
      </c>
      <c r="C11" s="4">
        <v>0</v>
      </c>
      <c r="D11" s="5">
        <f>RANK(C11,C5:C19,0)</f>
        <v>1</v>
      </c>
    </row>
    <row r="12" spans="1:4" ht="21.75" customHeight="1" x14ac:dyDescent="0.25">
      <c r="A12" s="6">
        <v>8</v>
      </c>
      <c r="B12" s="7" t="s">
        <v>107</v>
      </c>
      <c r="C12" s="8">
        <v>0</v>
      </c>
      <c r="D12" s="9">
        <f>RANK(C12,C5:C19,0)</f>
        <v>1</v>
      </c>
    </row>
    <row r="13" spans="1:4" ht="21.75" customHeight="1" x14ac:dyDescent="0.25">
      <c r="A13" s="2">
        <v>9</v>
      </c>
      <c r="B13" s="3" t="s">
        <v>108</v>
      </c>
      <c r="C13" s="4">
        <v>0</v>
      </c>
      <c r="D13" s="5">
        <f>RANK(C13,C5:C19,0)</f>
        <v>1</v>
      </c>
    </row>
    <row r="14" spans="1:4" ht="21.75" customHeight="1" x14ac:dyDescent="0.25">
      <c r="A14" s="6">
        <v>10</v>
      </c>
      <c r="B14" s="7" t="s">
        <v>109</v>
      </c>
      <c r="C14" s="8">
        <v>0</v>
      </c>
      <c r="D14" s="9">
        <f>RANK(C14,C5:C19,0)</f>
        <v>1</v>
      </c>
    </row>
    <row r="15" spans="1:4" ht="21.75" customHeight="1" x14ac:dyDescent="0.25">
      <c r="A15" s="2">
        <v>11</v>
      </c>
      <c r="B15" s="3" t="s">
        <v>110</v>
      </c>
      <c r="C15" s="4">
        <v>0</v>
      </c>
      <c r="D15" s="5">
        <f>RANK(C15,C5:C19,0)</f>
        <v>1</v>
      </c>
    </row>
    <row r="16" spans="1:4" ht="21.75" customHeight="1" x14ac:dyDescent="0.25">
      <c r="A16" s="6">
        <v>12</v>
      </c>
      <c r="B16" s="7" t="s">
        <v>111</v>
      </c>
      <c r="C16" s="8">
        <v>0</v>
      </c>
      <c r="D16" s="9">
        <f>RANK(C16,C5:C19,0)</f>
        <v>1</v>
      </c>
    </row>
    <row r="17" spans="1:4" ht="21.75" customHeight="1" x14ac:dyDescent="0.25">
      <c r="A17" s="2">
        <v>13</v>
      </c>
      <c r="B17" s="3" t="s">
        <v>6</v>
      </c>
      <c r="C17" s="4">
        <v>0</v>
      </c>
      <c r="D17" s="5">
        <f>RANK(C17,C5:C19,0)</f>
        <v>1</v>
      </c>
    </row>
    <row r="18" spans="1:4" ht="21.75" customHeight="1" x14ac:dyDescent="0.25">
      <c r="A18" s="6">
        <v>14</v>
      </c>
      <c r="B18" s="7" t="s">
        <v>7</v>
      </c>
      <c r="C18" s="8">
        <v>0</v>
      </c>
      <c r="D18" s="9">
        <f>RANK(C18,C5:C19,0)</f>
        <v>1</v>
      </c>
    </row>
    <row r="19" spans="1:4" ht="21.75" customHeight="1" x14ac:dyDescent="0.25">
      <c r="A19" s="2">
        <v>15</v>
      </c>
      <c r="B19" s="3" t="s">
        <v>8</v>
      </c>
      <c r="C19" s="4">
        <v>0</v>
      </c>
      <c r="D19" s="5">
        <f>RANK(C19,C5:C19,0)</f>
        <v>1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6"/>
  <sheetViews>
    <sheetView showGridLines="0" topLeftCell="A5" zoomScaleNormal="100" workbookViewId="0">
      <selection activeCell="I23" sqref="I23"/>
    </sheetView>
  </sheetViews>
  <sheetFormatPr baseColWidth="10" defaultColWidth="8.7109375" defaultRowHeight="15" x14ac:dyDescent="0.25"/>
  <cols>
    <col min="1" max="1" width="5" customWidth="1"/>
    <col min="2" max="2" width="8" customWidth="1"/>
    <col min="3" max="3" width="24" customWidth="1"/>
    <col min="4" max="4" width="11" customWidth="1"/>
    <col min="5" max="5" width="12" customWidth="1"/>
    <col min="6" max="6" width="24" customWidth="1"/>
    <col min="7" max="7" width="10" customWidth="1"/>
  </cols>
  <sheetData>
    <row r="1" spans="1:7" ht="31.5" customHeight="1" x14ac:dyDescent="0.25">
      <c r="A1" s="44" t="s">
        <v>9</v>
      </c>
      <c r="B1" s="44"/>
      <c r="C1" s="44"/>
      <c r="D1" s="44"/>
      <c r="E1" s="44"/>
      <c r="F1" s="44"/>
      <c r="G1" s="44"/>
    </row>
    <row r="2" spans="1:7" ht="18" customHeight="1" x14ac:dyDescent="0.25">
      <c r="A2" s="45" t="s">
        <v>10</v>
      </c>
      <c r="B2" s="45"/>
      <c r="C2" s="45"/>
      <c r="D2" s="45"/>
      <c r="E2" s="45"/>
      <c r="F2" s="45"/>
      <c r="G2" s="45"/>
    </row>
    <row r="3" spans="1:7" ht="6" customHeight="1" x14ac:dyDescent="0.25"/>
    <row r="4" spans="1:7" ht="27.75" customHeight="1" x14ac:dyDescent="0.25">
      <c r="A4" s="10" t="s">
        <v>2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</row>
    <row r="5" spans="1:7" ht="19.5" customHeight="1" x14ac:dyDescent="0.25">
      <c r="A5" s="11">
        <v>1</v>
      </c>
      <c r="B5" s="12" t="s">
        <v>17</v>
      </c>
      <c r="C5" s="11" t="s">
        <v>18</v>
      </c>
      <c r="D5" s="13">
        <v>2</v>
      </c>
      <c r="E5" s="13">
        <v>0</v>
      </c>
      <c r="F5" s="11" t="s">
        <v>19</v>
      </c>
      <c r="G5" s="11" t="s">
        <v>20</v>
      </c>
    </row>
    <row r="6" spans="1:7" ht="19.5" customHeight="1" x14ac:dyDescent="0.25">
      <c r="A6" s="14">
        <v>2</v>
      </c>
      <c r="B6" s="15" t="s">
        <v>17</v>
      </c>
      <c r="C6" s="14" t="s">
        <v>21</v>
      </c>
      <c r="D6" s="13">
        <v>2</v>
      </c>
      <c r="E6" s="13">
        <v>1</v>
      </c>
      <c r="F6" s="14" t="s">
        <v>22</v>
      </c>
      <c r="G6" s="14" t="s">
        <v>20</v>
      </c>
    </row>
    <row r="7" spans="1:7" ht="19.5" customHeight="1" x14ac:dyDescent="0.25">
      <c r="A7" s="11">
        <v>3</v>
      </c>
      <c r="B7" s="12" t="s">
        <v>17</v>
      </c>
      <c r="C7" s="11" t="s">
        <v>22</v>
      </c>
      <c r="D7" s="13"/>
      <c r="E7" s="13"/>
      <c r="F7" s="11" t="s">
        <v>19</v>
      </c>
      <c r="G7" s="11" t="s">
        <v>23</v>
      </c>
    </row>
    <row r="8" spans="1:7" ht="19.5" customHeight="1" x14ac:dyDescent="0.25">
      <c r="A8" s="14">
        <v>4</v>
      </c>
      <c r="B8" s="15" t="s">
        <v>17</v>
      </c>
      <c r="C8" s="14" t="s">
        <v>18</v>
      </c>
      <c r="D8" s="13"/>
      <c r="E8" s="13"/>
      <c r="F8" s="14" t="s">
        <v>21</v>
      </c>
      <c r="G8" s="14" t="s">
        <v>23</v>
      </c>
    </row>
    <row r="9" spans="1:7" ht="19.5" customHeight="1" x14ac:dyDescent="0.25">
      <c r="A9" s="11">
        <v>5</v>
      </c>
      <c r="B9" s="12" t="s">
        <v>17</v>
      </c>
      <c r="C9" s="11" t="s">
        <v>22</v>
      </c>
      <c r="D9" s="13"/>
      <c r="E9" s="13"/>
      <c r="F9" s="11" t="s">
        <v>18</v>
      </c>
      <c r="G9" s="11" t="s">
        <v>24</v>
      </c>
    </row>
    <row r="10" spans="1:7" ht="19.5" customHeight="1" x14ac:dyDescent="0.25">
      <c r="A10" s="14">
        <v>6</v>
      </c>
      <c r="B10" s="15" t="s">
        <v>17</v>
      </c>
      <c r="C10" s="14" t="s">
        <v>19</v>
      </c>
      <c r="D10" s="13"/>
      <c r="E10" s="13"/>
      <c r="F10" s="14" t="s">
        <v>21</v>
      </c>
      <c r="G10" s="14" t="s">
        <v>24</v>
      </c>
    </row>
    <row r="11" spans="1:7" ht="19.5" customHeight="1" x14ac:dyDescent="0.25">
      <c r="A11" s="11">
        <v>7</v>
      </c>
      <c r="B11" s="16" t="s">
        <v>25</v>
      </c>
      <c r="C11" s="11" t="s">
        <v>26</v>
      </c>
      <c r="D11" s="13">
        <v>1</v>
      </c>
      <c r="E11" s="13">
        <v>1</v>
      </c>
      <c r="F11" s="11" t="s">
        <v>27</v>
      </c>
      <c r="G11" s="11" t="s">
        <v>28</v>
      </c>
    </row>
    <row r="12" spans="1:7" ht="19.5" customHeight="1" x14ac:dyDescent="0.25">
      <c r="A12" s="14">
        <v>8</v>
      </c>
      <c r="B12" s="17" t="s">
        <v>25</v>
      </c>
      <c r="C12" s="14" t="s">
        <v>29</v>
      </c>
      <c r="D12" s="13">
        <v>1</v>
      </c>
      <c r="E12" s="13">
        <v>1</v>
      </c>
      <c r="F12" s="14" t="s">
        <v>30</v>
      </c>
      <c r="G12" s="14" t="s">
        <v>31</v>
      </c>
    </row>
    <row r="13" spans="1:7" ht="19.5" customHeight="1" x14ac:dyDescent="0.25">
      <c r="A13" s="11">
        <v>9</v>
      </c>
      <c r="B13" s="16" t="s">
        <v>25</v>
      </c>
      <c r="C13" s="11" t="s">
        <v>30</v>
      </c>
      <c r="D13" s="13"/>
      <c r="E13" s="13"/>
      <c r="F13" s="11" t="s">
        <v>27</v>
      </c>
      <c r="G13" s="11" t="s">
        <v>23</v>
      </c>
    </row>
    <row r="14" spans="1:7" ht="19.5" customHeight="1" x14ac:dyDescent="0.25">
      <c r="A14" s="14">
        <v>10</v>
      </c>
      <c r="B14" s="17" t="s">
        <v>25</v>
      </c>
      <c r="C14" s="14" t="s">
        <v>26</v>
      </c>
      <c r="D14" s="13"/>
      <c r="E14" s="13"/>
      <c r="F14" s="14" t="s">
        <v>29</v>
      </c>
      <c r="G14" s="14" t="s">
        <v>23</v>
      </c>
    </row>
    <row r="15" spans="1:7" ht="19.5" customHeight="1" x14ac:dyDescent="0.25">
      <c r="A15" s="11">
        <v>11</v>
      </c>
      <c r="B15" s="16" t="s">
        <v>25</v>
      </c>
      <c r="C15" s="11" t="s">
        <v>30</v>
      </c>
      <c r="D15" s="13"/>
      <c r="E15" s="13"/>
      <c r="F15" s="11" t="s">
        <v>26</v>
      </c>
      <c r="G15" s="11" t="s">
        <v>24</v>
      </c>
    </row>
    <row r="16" spans="1:7" ht="19.5" customHeight="1" x14ac:dyDescent="0.25">
      <c r="A16" s="14">
        <v>12</v>
      </c>
      <c r="B16" s="17" t="s">
        <v>25</v>
      </c>
      <c r="C16" s="14" t="s">
        <v>27</v>
      </c>
      <c r="D16" s="13"/>
      <c r="E16" s="13"/>
      <c r="F16" s="14" t="s">
        <v>29</v>
      </c>
      <c r="G16" s="14" t="s">
        <v>24</v>
      </c>
    </row>
    <row r="17" spans="1:14" ht="19.5" customHeight="1" x14ac:dyDescent="0.25">
      <c r="A17" s="11">
        <v>13</v>
      </c>
      <c r="B17" s="18" t="s">
        <v>32</v>
      </c>
      <c r="C17" s="11" t="s">
        <v>33</v>
      </c>
      <c r="D17" s="13">
        <v>1</v>
      </c>
      <c r="E17" s="13">
        <v>1</v>
      </c>
      <c r="F17" s="11" t="s">
        <v>34</v>
      </c>
      <c r="G17" s="11" t="s">
        <v>31</v>
      </c>
      <c r="N17" t="s">
        <v>112</v>
      </c>
    </row>
    <row r="18" spans="1:14" ht="19.5" customHeight="1" x14ac:dyDescent="0.25">
      <c r="A18" s="14">
        <v>14</v>
      </c>
      <c r="B18" s="19" t="s">
        <v>32</v>
      </c>
      <c r="C18" s="14" t="s">
        <v>35</v>
      </c>
      <c r="D18" s="13">
        <v>0</v>
      </c>
      <c r="E18" s="13">
        <v>1</v>
      </c>
      <c r="F18" s="14" t="s">
        <v>36</v>
      </c>
      <c r="G18" s="14" t="s">
        <v>31</v>
      </c>
    </row>
    <row r="19" spans="1:14" ht="19.5" customHeight="1" x14ac:dyDescent="0.25">
      <c r="A19" s="11">
        <v>15</v>
      </c>
      <c r="B19" s="18" t="s">
        <v>32</v>
      </c>
      <c r="C19" s="11" t="s">
        <v>36</v>
      </c>
      <c r="D19" s="13"/>
      <c r="E19" s="13"/>
      <c r="F19" s="11" t="s">
        <v>34</v>
      </c>
      <c r="G19" s="11" t="s">
        <v>37</v>
      </c>
    </row>
    <row r="20" spans="1:14" ht="19.5" customHeight="1" x14ac:dyDescent="0.25">
      <c r="A20" s="14">
        <v>16</v>
      </c>
      <c r="B20" s="19" t="s">
        <v>32</v>
      </c>
      <c r="C20" s="14" t="s">
        <v>33</v>
      </c>
      <c r="D20" s="13"/>
      <c r="E20" s="13"/>
      <c r="F20" s="14" t="s">
        <v>35</v>
      </c>
      <c r="G20" s="14" t="s">
        <v>37</v>
      </c>
    </row>
    <row r="21" spans="1:14" ht="19.5" customHeight="1" x14ac:dyDescent="0.25">
      <c r="A21" s="11">
        <v>17</v>
      </c>
      <c r="B21" s="18" t="s">
        <v>32</v>
      </c>
      <c r="C21" s="11" t="s">
        <v>36</v>
      </c>
      <c r="D21" s="13"/>
      <c r="E21" s="13"/>
      <c r="F21" s="11" t="s">
        <v>33</v>
      </c>
      <c r="G21" s="11" t="s">
        <v>24</v>
      </c>
    </row>
    <row r="22" spans="1:14" ht="19.5" customHeight="1" x14ac:dyDescent="0.25">
      <c r="A22" s="14">
        <v>18</v>
      </c>
      <c r="B22" s="19" t="s">
        <v>32</v>
      </c>
      <c r="C22" s="14" t="s">
        <v>34</v>
      </c>
      <c r="D22" s="13"/>
      <c r="E22" s="13"/>
      <c r="F22" s="14" t="s">
        <v>35</v>
      </c>
      <c r="G22" s="14" t="s">
        <v>24</v>
      </c>
    </row>
    <row r="23" spans="1:14" ht="19.5" customHeight="1" x14ac:dyDescent="0.25">
      <c r="A23" s="11">
        <v>19</v>
      </c>
      <c r="B23" s="20" t="s">
        <v>38</v>
      </c>
      <c r="C23" s="11" t="s">
        <v>39</v>
      </c>
      <c r="D23" s="13">
        <v>4</v>
      </c>
      <c r="E23" s="13">
        <v>1</v>
      </c>
      <c r="F23" s="11" t="s">
        <v>40</v>
      </c>
      <c r="G23" s="11" t="s">
        <v>28</v>
      </c>
    </row>
    <row r="24" spans="1:14" ht="19.5" customHeight="1" x14ac:dyDescent="0.25">
      <c r="A24" s="14">
        <v>20</v>
      </c>
      <c r="B24" s="21" t="s">
        <v>38</v>
      </c>
      <c r="C24" s="14" t="s">
        <v>41</v>
      </c>
      <c r="D24" s="13">
        <v>2</v>
      </c>
      <c r="E24" s="13">
        <v>0</v>
      </c>
      <c r="F24" s="14" t="s">
        <v>42</v>
      </c>
      <c r="G24" s="14" t="s">
        <v>31</v>
      </c>
    </row>
    <row r="25" spans="1:14" ht="19.5" customHeight="1" x14ac:dyDescent="0.25">
      <c r="A25" s="11">
        <v>21</v>
      </c>
      <c r="B25" s="20" t="s">
        <v>38</v>
      </c>
      <c r="C25" s="11" t="s">
        <v>39</v>
      </c>
      <c r="D25" s="13"/>
      <c r="E25" s="13"/>
      <c r="F25" s="11" t="s">
        <v>41</v>
      </c>
      <c r="G25" s="11" t="s">
        <v>37</v>
      </c>
    </row>
    <row r="26" spans="1:14" ht="19.5" customHeight="1" x14ac:dyDescent="0.25">
      <c r="A26" s="14">
        <v>22</v>
      </c>
      <c r="B26" s="21" t="s">
        <v>38</v>
      </c>
      <c r="C26" s="14" t="s">
        <v>42</v>
      </c>
      <c r="D26" s="13"/>
      <c r="E26" s="13"/>
      <c r="F26" s="14" t="s">
        <v>40</v>
      </c>
      <c r="G26" s="14" t="s">
        <v>37</v>
      </c>
    </row>
    <row r="27" spans="1:14" ht="19.5" customHeight="1" x14ac:dyDescent="0.25">
      <c r="A27" s="11">
        <v>23</v>
      </c>
      <c r="B27" s="20" t="s">
        <v>38</v>
      </c>
      <c r="C27" s="11" t="s">
        <v>42</v>
      </c>
      <c r="D27" s="13"/>
      <c r="E27" s="13"/>
      <c r="F27" s="11" t="s">
        <v>39</v>
      </c>
      <c r="G27" s="11" t="s">
        <v>43</v>
      </c>
    </row>
    <row r="28" spans="1:14" ht="19.5" customHeight="1" x14ac:dyDescent="0.25">
      <c r="A28" s="14">
        <v>24</v>
      </c>
      <c r="B28" s="21" t="s">
        <v>38</v>
      </c>
      <c r="C28" s="14" t="s">
        <v>40</v>
      </c>
      <c r="D28" s="13"/>
      <c r="E28" s="13"/>
      <c r="F28" s="14" t="s">
        <v>41</v>
      </c>
      <c r="G28" s="14" t="s">
        <v>43</v>
      </c>
    </row>
    <row r="29" spans="1:14" ht="19.5" customHeight="1" x14ac:dyDescent="0.25">
      <c r="A29" s="11">
        <v>25</v>
      </c>
      <c r="B29" s="22" t="s">
        <v>44</v>
      </c>
      <c r="C29" s="11" t="s">
        <v>45</v>
      </c>
      <c r="D29" s="13"/>
      <c r="E29" s="13"/>
      <c r="F29" s="11" t="s">
        <v>46</v>
      </c>
      <c r="G29" s="11" t="s">
        <v>47</v>
      </c>
    </row>
    <row r="30" spans="1:14" ht="19.5" customHeight="1" x14ac:dyDescent="0.25">
      <c r="A30" s="14">
        <v>26</v>
      </c>
      <c r="B30" s="23" t="s">
        <v>44</v>
      </c>
      <c r="C30" s="14" t="s">
        <v>48</v>
      </c>
      <c r="D30" s="13"/>
      <c r="E30" s="13"/>
      <c r="F30" s="14" t="s">
        <v>49</v>
      </c>
      <c r="G30" s="14" t="s">
        <v>47</v>
      </c>
    </row>
    <row r="31" spans="1:14" ht="19.5" customHeight="1" x14ac:dyDescent="0.25">
      <c r="A31" s="11">
        <v>27</v>
      </c>
      <c r="B31" s="22" t="s">
        <v>44</v>
      </c>
      <c r="C31" s="11" t="s">
        <v>45</v>
      </c>
      <c r="D31" s="13"/>
      <c r="E31" s="13"/>
      <c r="F31" s="11" t="s">
        <v>48</v>
      </c>
      <c r="G31" s="11" t="s">
        <v>50</v>
      </c>
    </row>
    <row r="32" spans="1:14" ht="19.5" customHeight="1" x14ac:dyDescent="0.25">
      <c r="A32" s="14">
        <v>28</v>
      </c>
      <c r="B32" s="23" t="s">
        <v>44</v>
      </c>
      <c r="C32" s="14" t="s">
        <v>49</v>
      </c>
      <c r="D32" s="13"/>
      <c r="E32" s="13"/>
      <c r="F32" s="14" t="s">
        <v>46</v>
      </c>
      <c r="G32" s="14" t="s">
        <v>50</v>
      </c>
    </row>
    <row r="33" spans="1:7" ht="19.5" customHeight="1" x14ac:dyDescent="0.25">
      <c r="A33" s="11">
        <v>29</v>
      </c>
      <c r="B33" s="22" t="s">
        <v>44</v>
      </c>
      <c r="C33" s="11" t="s">
        <v>49</v>
      </c>
      <c r="D33" s="13"/>
      <c r="E33" s="13"/>
      <c r="F33" s="11" t="s">
        <v>45</v>
      </c>
      <c r="G33" s="11" t="s">
        <v>43</v>
      </c>
    </row>
    <row r="34" spans="1:7" ht="19.5" customHeight="1" x14ac:dyDescent="0.25">
      <c r="A34" s="14">
        <v>30</v>
      </c>
      <c r="B34" s="23" t="s">
        <v>44</v>
      </c>
      <c r="C34" s="14" t="s">
        <v>46</v>
      </c>
      <c r="D34" s="13"/>
      <c r="E34" s="13"/>
      <c r="F34" s="14" t="s">
        <v>48</v>
      </c>
      <c r="G34" s="14" t="s">
        <v>43</v>
      </c>
    </row>
    <row r="35" spans="1:7" ht="19.5" customHeight="1" x14ac:dyDescent="0.25">
      <c r="A35" s="11">
        <v>31</v>
      </c>
      <c r="B35" s="24" t="s">
        <v>51</v>
      </c>
      <c r="C35" s="11" t="s">
        <v>52</v>
      </c>
      <c r="D35" s="13"/>
      <c r="E35" s="13"/>
      <c r="F35" s="11" t="s">
        <v>53</v>
      </c>
      <c r="G35" s="11" t="s">
        <v>47</v>
      </c>
    </row>
    <row r="36" spans="1:7" ht="19.5" customHeight="1" x14ac:dyDescent="0.25">
      <c r="A36" s="14">
        <v>32</v>
      </c>
      <c r="B36" s="25" t="s">
        <v>51</v>
      </c>
      <c r="C36" s="14" t="s">
        <v>54</v>
      </c>
      <c r="D36" s="13"/>
      <c r="E36" s="13"/>
      <c r="F36" s="14" t="s">
        <v>55</v>
      </c>
      <c r="G36" s="14" t="s">
        <v>47</v>
      </c>
    </row>
    <row r="37" spans="1:7" ht="19.5" customHeight="1" x14ac:dyDescent="0.25">
      <c r="A37" s="11">
        <v>33</v>
      </c>
      <c r="B37" s="24" t="s">
        <v>51</v>
      </c>
      <c r="C37" s="11" t="s">
        <v>52</v>
      </c>
      <c r="D37" s="13"/>
      <c r="E37" s="13"/>
      <c r="F37" s="11" t="s">
        <v>54</v>
      </c>
      <c r="G37" s="11" t="s">
        <v>50</v>
      </c>
    </row>
    <row r="38" spans="1:7" ht="19.5" customHeight="1" x14ac:dyDescent="0.25">
      <c r="A38" s="14">
        <v>34</v>
      </c>
      <c r="B38" s="25" t="s">
        <v>51</v>
      </c>
      <c r="C38" s="14" t="s">
        <v>55</v>
      </c>
      <c r="D38" s="13"/>
      <c r="E38" s="13"/>
      <c r="F38" s="14" t="s">
        <v>53</v>
      </c>
      <c r="G38" s="14" t="s">
        <v>50</v>
      </c>
    </row>
    <row r="39" spans="1:7" ht="19.5" customHeight="1" x14ac:dyDescent="0.25">
      <c r="A39" s="11">
        <v>35</v>
      </c>
      <c r="B39" s="24" t="s">
        <v>51</v>
      </c>
      <c r="C39" s="11" t="s">
        <v>53</v>
      </c>
      <c r="D39" s="13"/>
      <c r="E39" s="13"/>
      <c r="F39" s="11" t="s">
        <v>54</v>
      </c>
      <c r="G39" s="11" t="s">
        <v>43</v>
      </c>
    </row>
    <row r="40" spans="1:7" ht="19.5" customHeight="1" x14ac:dyDescent="0.25">
      <c r="A40" s="14">
        <v>36</v>
      </c>
      <c r="B40" s="25" t="s">
        <v>51</v>
      </c>
      <c r="C40" s="14" t="s">
        <v>55</v>
      </c>
      <c r="D40" s="13"/>
      <c r="E40" s="13"/>
      <c r="F40" s="14" t="s">
        <v>52</v>
      </c>
      <c r="G40" s="14" t="s">
        <v>43</v>
      </c>
    </row>
    <row r="41" spans="1:7" ht="19.5" customHeight="1" x14ac:dyDescent="0.25">
      <c r="A41" s="11">
        <v>37</v>
      </c>
      <c r="B41" s="26" t="s">
        <v>56</v>
      </c>
      <c r="C41" s="11" t="s">
        <v>57</v>
      </c>
      <c r="D41" s="13"/>
      <c r="E41" s="13"/>
      <c r="F41" s="11" t="s">
        <v>58</v>
      </c>
      <c r="G41" s="11" t="s">
        <v>59</v>
      </c>
    </row>
    <row r="42" spans="1:7" ht="19.5" customHeight="1" x14ac:dyDescent="0.25">
      <c r="A42" s="14">
        <v>38</v>
      </c>
      <c r="B42" s="27" t="s">
        <v>56</v>
      </c>
      <c r="C42" s="14" t="s">
        <v>60</v>
      </c>
      <c r="D42" s="13"/>
      <c r="E42" s="13"/>
      <c r="F42" s="14" t="s">
        <v>61</v>
      </c>
      <c r="G42" s="14" t="s">
        <v>59</v>
      </c>
    </row>
    <row r="43" spans="1:7" ht="19.5" customHeight="1" x14ac:dyDescent="0.25">
      <c r="A43" s="11">
        <v>39</v>
      </c>
      <c r="B43" s="26" t="s">
        <v>56</v>
      </c>
      <c r="C43" s="11" t="s">
        <v>57</v>
      </c>
      <c r="D43" s="13"/>
      <c r="E43" s="13"/>
      <c r="F43" s="11" t="s">
        <v>60</v>
      </c>
      <c r="G43" s="11" t="s">
        <v>62</v>
      </c>
    </row>
    <row r="44" spans="1:7" ht="19.5" customHeight="1" x14ac:dyDescent="0.25">
      <c r="A44" s="14">
        <v>40</v>
      </c>
      <c r="B44" s="27" t="s">
        <v>56</v>
      </c>
      <c r="C44" s="14" t="s">
        <v>61</v>
      </c>
      <c r="D44" s="13"/>
      <c r="E44" s="13"/>
      <c r="F44" s="14" t="s">
        <v>58</v>
      </c>
      <c r="G44" s="14" t="s">
        <v>62</v>
      </c>
    </row>
    <row r="45" spans="1:7" ht="19.5" customHeight="1" x14ac:dyDescent="0.25">
      <c r="A45" s="11">
        <v>41</v>
      </c>
      <c r="B45" s="26" t="s">
        <v>56</v>
      </c>
      <c r="C45" s="11" t="s">
        <v>58</v>
      </c>
      <c r="D45" s="13"/>
      <c r="E45" s="13"/>
      <c r="F45" s="11" t="s">
        <v>60</v>
      </c>
      <c r="G45" s="11" t="s">
        <v>63</v>
      </c>
    </row>
    <row r="46" spans="1:7" ht="19.5" customHeight="1" x14ac:dyDescent="0.25">
      <c r="A46" s="14">
        <v>42</v>
      </c>
      <c r="B46" s="27" t="s">
        <v>56</v>
      </c>
      <c r="C46" s="14" t="s">
        <v>61</v>
      </c>
      <c r="D46" s="13"/>
      <c r="E46" s="13"/>
      <c r="F46" s="14" t="s">
        <v>57</v>
      </c>
      <c r="G46" s="14" t="s">
        <v>63</v>
      </c>
    </row>
    <row r="47" spans="1:7" ht="19.5" customHeight="1" x14ac:dyDescent="0.25">
      <c r="A47" s="11">
        <v>43</v>
      </c>
      <c r="B47" s="28" t="s">
        <v>64</v>
      </c>
      <c r="C47" s="11" t="s">
        <v>65</v>
      </c>
      <c r="D47" s="13"/>
      <c r="E47" s="13"/>
      <c r="F47" s="11" t="s">
        <v>66</v>
      </c>
      <c r="G47" s="11" t="s">
        <v>59</v>
      </c>
    </row>
    <row r="48" spans="1:7" ht="19.5" customHeight="1" x14ac:dyDescent="0.25">
      <c r="A48" s="14">
        <v>44</v>
      </c>
      <c r="B48" s="29" t="s">
        <v>64</v>
      </c>
      <c r="C48" s="14" t="s">
        <v>67</v>
      </c>
      <c r="D48" s="13"/>
      <c r="E48" s="13"/>
      <c r="F48" s="14" t="s">
        <v>68</v>
      </c>
      <c r="G48" s="14" t="s">
        <v>59</v>
      </c>
    </row>
    <row r="49" spans="1:7" ht="19.5" customHeight="1" x14ac:dyDescent="0.25">
      <c r="A49" s="11">
        <v>45</v>
      </c>
      <c r="B49" s="28" t="s">
        <v>64</v>
      </c>
      <c r="C49" s="11" t="s">
        <v>65</v>
      </c>
      <c r="D49" s="13"/>
      <c r="E49" s="13"/>
      <c r="F49" s="11" t="s">
        <v>67</v>
      </c>
      <c r="G49" s="11" t="s">
        <v>62</v>
      </c>
    </row>
    <row r="50" spans="1:7" ht="19.5" customHeight="1" x14ac:dyDescent="0.25">
      <c r="A50" s="14">
        <v>46</v>
      </c>
      <c r="B50" s="29" t="s">
        <v>64</v>
      </c>
      <c r="C50" s="14" t="s">
        <v>68</v>
      </c>
      <c r="D50" s="13"/>
      <c r="E50" s="13"/>
      <c r="F50" s="14" t="s">
        <v>66</v>
      </c>
      <c r="G50" s="14" t="s">
        <v>62</v>
      </c>
    </row>
    <row r="51" spans="1:7" ht="19.5" customHeight="1" x14ac:dyDescent="0.25">
      <c r="A51" s="11">
        <v>47</v>
      </c>
      <c r="B51" s="28" t="s">
        <v>64</v>
      </c>
      <c r="C51" s="11" t="s">
        <v>66</v>
      </c>
      <c r="D51" s="13"/>
      <c r="E51" s="13"/>
      <c r="F51" s="11" t="s">
        <v>67</v>
      </c>
      <c r="G51" s="11" t="s">
        <v>63</v>
      </c>
    </row>
    <row r="52" spans="1:7" ht="19.5" customHeight="1" x14ac:dyDescent="0.25">
      <c r="A52" s="14">
        <v>48</v>
      </c>
      <c r="B52" s="29" t="s">
        <v>64</v>
      </c>
      <c r="C52" s="14" t="s">
        <v>68</v>
      </c>
      <c r="D52" s="13"/>
      <c r="E52" s="13"/>
      <c r="F52" s="14" t="s">
        <v>65</v>
      </c>
      <c r="G52" s="14" t="s">
        <v>63</v>
      </c>
    </row>
    <row r="53" spans="1:7" ht="19.5" customHeight="1" x14ac:dyDescent="0.25">
      <c r="A53" s="11">
        <v>49</v>
      </c>
      <c r="B53" s="30" t="s">
        <v>69</v>
      </c>
      <c r="C53" s="11" t="s">
        <v>70</v>
      </c>
      <c r="D53" s="13"/>
      <c r="E53" s="13"/>
      <c r="F53" s="11" t="s">
        <v>71</v>
      </c>
      <c r="G53" s="11" t="s">
        <v>72</v>
      </c>
    </row>
    <row r="54" spans="1:7" ht="19.5" customHeight="1" x14ac:dyDescent="0.25">
      <c r="A54" s="14">
        <v>50</v>
      </c>
      <c r="B54" s="31" t="s">
        <v>69</v>
      </c>
      <c r="C54" s="14" t="s">
        <v>73</v>
      </c>
      <c r="D54" s="13"/>
      <c r="E54" s="13"/>
      <c r="F54" s="14" t="s">
        <v>74</v>
      </c>
      <c r="G54" s="14" t="s">
        <v>72</v>
      </c>
    </row>
    <row r="55" spans="1:7" ht="19.5" customHeight="1" x14ac:dyDescent="0.25">
      <c r="A55" s="11">
        <v>51</v>
      </c>
      <c r="B55" s="30" t="s">
        <v>69</v>
      </c>
      <c r="C55" s="11" t="s">
        <v>70</v>
      </c>
      <c r="D55" s="13"/>
      <c r="E55" s="13"/>
      <c r="F55" s="11" t="s">
        <v>73</v>
      </c>
      <c r="G55" s="11" t="s">
        <v>75</v>
      </c>
    </row>
    <row r="56" spans="1:7" ht="19.5" customHeight="1" x14ac:dyDescent="0.25">
      <c r="A56" s="14">
        <v>52</v>
      </c>
      <c r="B56" s="31" t="s">
        <v>69</v>
      </c>
      <c r="C56" s="14" t="s">
        <v>74</v>
      </c>
      <c r="D56" s="13"/>
      <c r="E56" s="13"/>
      <c r="F56" s="14" t="s">
        <v>71</v>
      </c>
      <c r="G56" s="14" t="s">
        <v>75</v>
      </c>
    </row>
    <row r="57" spans="1:7" ht="19.5" customHeight="1" x14ac:dyDescent="0.25">
      <c r="A57" s="11">
        <v>53</v>
      </c>
      <c r="B57" s="30" t="s">
        <v>69</v>
      </c>
      <c r="C57" s="11" t="s">
        <v>74</v>
      </c>
      <c r="D57" s="13"/>
      <c r="E57" s="13"/>
      <c r="F57" s="11" t="s">
        <v>70</v>
      </c>
      <c r="G57" s="11" t="s">
        <v>63</v>
      </c>
    </row>
    <row r="58" spans="1:7" ht="19.5" customHeight="1" x14ac:dyDescent="0.25">
      <c r="A58" s="14">
        <v>54</v>
      </c>
      <c r="B58" s="31" t="s">
        <v>69</v>
      </c>
      <c r="C58" s="14" t="s">
        <v>71</v>
      </c>
      <c r="D58" s="13"/>
      <c r="E58" s="13"/>
      <c r="F58" s="14" t="s">
        <v>73</v>
      </c>
      <c r="G58" s="14" t="s">
        <v>63</v>
      </c>
    </row>
    <row r="59" spans="1:7" ht="19.5" customHeight="1" x14ac:dyDescent="0.25">
      <c r="A59" s="11">
        <v>55</v>
      </c>
      <c r="B59" s="32" t="s">
        <v>76</v>
      </c>
      <c r="C59" s="11" t="s">
        <v>77</v>
      </c>
      <c r="D59" s="13"/>
      <c r="E59" s="13"/>
      <c r="F59" s="11" t="s">
        <v>78</v>
      </c>
      <c r="G59" s="11" t="s">
        <v>72</v>
      </c>
    </row>
    <row r="60" spans="1:7" ht="19.5" customHeight="1" x14ac:dyDescent="0.25">
      <c r="A60" s="14">
        <v>56</v>
      </c>
      <c r="B60" s="33" t="s">
        <v>76</v>
      </c>
      <c r="C60" s="14" t="s">
        <v>79</v>
      </c>
      <c r="D60" s="13"/>
      <c r="E60" s="13"/>
      <c r="F60" s="14" t="s">
        <v>80</v>
      </c>
      <c r="G60" s="14" t="s">
        <v>72</v>
      </c>
    </row>
    <row r="61" spans="1:7" ht="19.5" customHeight="1" x14ac:dyDescent="0.25">
      <c r="A61" s="11">
        <v>57</v>
      </c>
      <c r="B61" s="32" t="s">
        <v>76</v>
      </c>
      <c r="C61" s="11" t="s">
        <v>77</v>
      </c>
      <c r="D61" s="13"/>
      <c r="E61" s="13"/>
      <c r="F61" s="11" t="s">
        <v>79</v>
      </c>
      <c r="G61" s="11" t="s">
        <v>75</v>
      </c>
    </row>
    <row r="62" spans="1:7" ht="19.5" customHeight="1" x14ac:dyDescent="0.25">
      <c r="A62" s="14">
        <v>58</v>
      </c>
      <c r="B62" s="33" t="s">
        <v>76</v>
      </c>
      <c r="C62" s="14" t="s">
        <v>80</v>
      </c>
      <c r="D62" s="13"/>
      <c r="E62" s="13"/>
      <c r="F62" s="14" t="s">
        <v>78</v>
      </c>
      <c r="G62" s="14" t="s">
        <v>75</v>
      </c>
    </row>
    <row r="63" spans="1:7" ht="19.5" customHeight="1" x14ac:dyDescent="0.25">
      <c r="A63" s="11">
        <v>59</v>
      </c>
      <c r="B63" s="32" t="s">
        <v>76</v>
      </c>
      <c r="C63" s="11" t="s">
        <v>78</v>
      </c>
      <c r="D63" s="13"/>
      <c r="E63" s="13"/>
      <c r="F63" s="11" t="s">
        <v>79</v>
      </c>
      <c r="G63" s="11" t="s">
        <v>81</v>
      </c>
    </row>
    <row r="64" spans="1:7" ht="19.5" customHeight="1" x14ac:dyDescent="0.25">
      <c r="A64" s="14">
        <v>60</v>
      </c>
      <c r="B64" s="33" t="s">
        <v>76</v>
      </c>
      <c r="C64" s="14" t="s">
        <v>80</v>
      </c>
      <c r="D64" s="13"/>
      <c r="E64" s="13"/>
      <c r="F64" s="14" t="s">
        <v>77</v>
      </c>
      <c r="G64" s="14" t="s">
        <v>81</v>
      </c>
    </row>
    <row r="65" spans="1:7" ht="19.5" customHeight="1" x14ac:dyDescent="0.25">
      <c r="A65" s="11">
        <v>61</v>
      </c>
      <c r="B65" s="34" t="s">
        <v>82</v>
      </c>
      <c r="C65" s="11" t="s">
        <v>83</v>
      </c>
      <c r="D65" s="13"/>
      <c r="E65" s="13"/>
      <c r="F65" s="11" t="s">
        <v>84</v>
      </c>
      <c r="G65" s="11" t="s">
        <v>85</v>
      </c>
    </row>
    <row r="66" spans="1:7" ht="19.5" customHeight="1" x14ac:dyDescent="0.25">
      <c r="A66" s="14">
        <v>62</v>
      </c>
      <c r="B66" s="35" t="s">
        <v>82</v>
      </c>
      <c r="C66" s="14" t="s">
        <v>86</v>
      </c>
      <c r="D66" s="13"/>
      <c r="E66" s="13"/>
      <c r="F66" s="14" t="s">
        <v>87</v>
      </c>
      <c r="G66" s="14" t="s">
        <v>85</v>
      </c>
    </row>
    <row r="67" spans="1:7" ht="19.5" customHeight="1" x14ac:dyDescent="0.25">
      <c r="A67" s="11">
        <v>63</v>
      </c>
      <c r="B67" s="34" t="s">
        <v>82</v>
      </c>
      <c r="C67" s="11" t="s">
        <v>83</v>
      </c>
      <c r="D67" s="13"/>
      <c r="E67" s="13"/>
      <c r="F67" s="11" t="s">
        <v>86</v>
      </c>
      <c r="G67" s="11" t="s">
        <v>88</v>
      </c>
    </row>
    <row r="68" spans="1:7" ht="19.5" customHeight="1" x14ac:dyDescent="0.25">
      <c r="A68" s="14">
        <v>64</v>
      </c>
      <c r="B68" s="35" t="s">
        <v>82</v>
      </c>
      <c r="C68" s="14" t="s">
        <v>87</v>
      </c>
      <c r="D68" s="13"/>
      <c r="E68" s="13"/>
      <c r="F68" s="14" t="s">
        <v>84</v>
      </c>
      <c r="G68" s="14" t="s">
        <v>88</v>
      </c>
    </row>
    <row r="69" spans="1:7" ht="19.5" customHeight="1" x14ac:dyDescent="0.25">
      <c r="A69" s="11">
        <v>65</v>
      </c>
      <c r="B69" s="34" t="s">
        <v>82</v>
      </c>
      <c r="C69" s="11" t="s">
        <v>87</v>
      </c>
      <c r="D69" s="13"/>
      <c r="E69" s="13"/>
      <c r="F69" s="11" t="s">
        <v>83</v>
      </c>
      <c r="G69" s="11" t="s">
        <v>81</v>
      </c>
    </row>
    <row r="70" spans="1:7" ht="19.5" customHeight="1" x14ac:dyDescent="0.25">
      <c r="A70" s="14">
        <v>66</v>
      </c>
      <c r="B70" s="35" t="s">
        <v>82</v>
      </c>
      <c r="C70" s="14" t="s">
        <v>84</v>
      </c>
      <c r="D70" s="13"/>
      <c r="E70" s="13"/>
      <c r="F70" s="14" t="s">
        <v>86</v>
      </c>
      <c r="G70" s="14" t="s">
        <v>81</v>
      </c>
    </row>
    <row r="71" spans="1:7" ht="19.5" customHeight="1" x14ac:dyDescent="0.25">
      <c r="A71" s="11">
        <v>67</v>
      </c>
      <c r="B71" s="36" t="s">
        <v>89</v>
      </c>
      <c r="C71" s="11" t="s">
        <v>90</v>
      </c>
      <c r="D71" s="13"/>
      <c r="E71" s="13"/>
      <c r="F71" s="11" t="s">
        <v>91</v>
      </c>
      <c r="G71" s="11" t="s">
        <v>85</v>
      </c>
    </row>
    <row r="72" spans="1:7" ht="19.5" customHeight="1" x14ac:dyDescent="0.25">
      <c r="A72" s="14">
        <v>68</v>
      </c>
      <c r="B72" s="37" t="s">
        <v>89</v>
      </c>
      <c r="C72" s="14" t="s">
        <v>92</v>
      </c>
      <c r="D72" s="13"/>
      <c r="E72" s="13"/>
      <c r="F72" s="14" t="s">
        <v>93</v>
      </c>
      <c r="G72" s="14" t="s">
        <v>85</v>
      </c>
    </row>
    <row r="73" spans="1:7" ht="19.5" customHeight="1" x14ac:dyDescent="0.25">
      <c r="A73" s="11">
        <v>69</v>
      </c>
      <c r="B73" s="36" t="s">
        <v>89</v>
      </c>
      <c r="C73" s="11" t="s">
        <v>90</v>
      </c>
      <c r="D73" s="13"/>
      <c r="E73" s="13"/>
      <c r="F73" s="11" t="s">
        <v>92</v>
      </c>
      <c r="G73" s="11" t="s">
        <v>88</v>
      </c>
    </row>
    <row r="74" spans="1:7" ht="19.5" customHeight="1" x14ac:dyDescent="0.25">
      <c r="A74" s="14">
        <v>70</v>
      </c>
      <c r="B74" s="37" t="s">
        <v>89</v>
      </c>
      <c r="C74" s="14" t="s">
        <v>93</v>
      </c>
      <c r="D74" s="13"/>
      <c r="E74" s="13"/>
      <c r="F74" s="14" t="s">
        <v>91</v>
      </c>
      <c r="G74" s="14" t="s">
        <v>88</v>
      </c>
    </row>
    <row r="75" spans="1:7" ht="19.5" customHeight="1" x14ac:dyDescent="0.25">
      <c r="A75" s="11">
        <v>71</v>
      </c>
      <c r="B75" s="36" t="s">
        <v>89</v>
      </c>
      <c r="C75" s="11" t="s">
        <v>90</v>
      </c>
      <c r="D75" s="13"/>
      <c r="E75" s="13"/>
      <c r="F75" s="11" t="s">
        <v>93</v>
      </c>
      <c r="G75" s="11" t="s">
        <v>81</v>
      </c>
    </row>
    <row r="76" spans="1:7" ht="19.5" customHeight="1" x14ac:dyDescent="0.25">
      <c r="A76" s="14">
        <v>72</v>
      </c>
      <c r="B76" s="37" t="s">
        <v>89</v>
      </c>
      <c r="C76" s="14" t="s">
        <v>91</v>
      </c>
      <c r="D76" s="13"/>
      <c r="E76" s="13"/>
      <c r="F76" s="14" t="s">
        <v>92</v>
      </c>
      <c r="G76" s="14" t="s">
        <v>81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77"/>
  <sheetViews>
    <sheetView showGridLines="0" tabSelected="1" topLeftCell="A11" zoomScaleNormal="100" workbookViewId="0">
      <selection activeCell="G37" sqref="G37"/>
    </sheetView>
  </sheetViews>
  <sheetFormatPr baseColWidth="10" defaultColWidth="8.7109375" defaultRowHeight="15" x14ac:dyDescent="0.25"/>
  <cols>
    <col min="1" max="1" width="5" customWidth="1"/>
    <col min="2" max="2" width="30" customWidth="1"/>
    <col min="3" max="3" width="12" customWidth="1"/>
    <col min="4" max="33" width="6" customWidth="1"/>
  </cols>
  <sheetData>
    <row r="1" spans="1:33" ht="31.5" customHeight="1" x14ac:dyDescent="0.25">
      <c r="A1" s="44" t="s">
        <v>94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</row>
    <row r="2" spans="1:33" ht="18" customHeight="1" x14ac:dyDescent="0.25">
      <c r="A2" s="45" t="s">
        <v>95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</row>
    <row r="3" spans="1:33" ht="6" customHeight="1" x14ac:dyDescent="0.25"/>
    <row r="4" spans="1:33" ht="30" customHeight="1" x14ac:dyDescent="0.25">
      <c r="A4" s="38" t="s">
        <v>2</v>
      </c>
      <c r="B4" s="38" t="s">
        <v>96</v>
      </c>
      <c r="C4" s="39" t="s">
        <v>97</v>
      </c>
      <c r="D4" s="47" t="str">
        <f>Participantes!B5</f>
        <v>Andres Jesús</v>
      </c>
      <c r="E4" s="47"/>
      <c r="F4" s="47" t="str">
        <f>Participantes!B6</f>
        <v>Leonardo Fabio</v>
      </c>
      <c r="G4" s="47"/>
      <c r="H4" s="47" t="str">
        <f>Participantes!B7</f>
        <v>Martha Cenidia</v>
      </c>
      <c r="I4" s="47"/>
      <c r="J4" s="47" t="str">
        <f>Participantes!B8</f>
        <v>Freddy Ramón</v>
      </c>
      <c r="K4" s="47"/>
      <c r="L4" s="47" t="str">
        <f>Participantes!B9</f>
        <v xml:space="preserve">Juan Camilo </v>
      </c>
      <c r="M4" s="47"/>
      <c r="N4" s="47" t="str">
        <f>Participantes!B10</f>
        <v xml:space="preserve">Juan David </v>
      </c>
      <c r="O4" s="47"/>
      <c r="P4" s="47" t="str">
        <f>Participantes!B11</f>
        <v>María Trinidad</v>
      </c>
      <c r="Q4" s="47"/>
      <c r="R4" s="47" t="str">
        <f>Participantes!B12</f>
        <v xml:space="preserve">María Gabriela </v>
      </c>
      <c r="S4" s="47"/>
      <c r="T4" s="47" t="str">
        <f>Participantes!B13</f>
        <v>Laura Valentina</v>
      </c>
      <c r="U4" s="47"/>
      <c r="V4" s="47" t="str">
        <f>Participantes!B14</f>
        <v>Gloria Isabel</v>
      </c>
      <c r="W4" s="47"/>
      <c r="X4" s="47" t="str">
        <f>Participantes!B15</f>
        <v xml:space="preserve">María del Pilar </v>
      </c>
      <c r="Y4" s="47"/>
      <c r="Z4" s="47" t="str">
        <f>Participantes!B16</f>
        <v>Jaime Andres</v>
      </c>
      <c r="AA4" s="47"/>
      <c r="AB4" s="47" t="str">
        <f>Participantes!B17</f>
        <v>Participante 13</v>
      </c>
      <c r="AC4" s="47"/>
      <c r="AD4" s="47" t="str">
        <f>Participantes!B18</f>
        <v>Participante 14</v>
      </c>
      <c r="AE4" s="47"/>
      <c r="AF4" s="47" t="str">
        <f>Participantes!B19</f>
        <v>Participante 15</v>
      </c>
      <c r="AG4" s="47"/>
    </row>
    <row r="5" spans="1:33" ht="15.75" customHeight="1" x14ac:dyDescent="0.25">
      <c r="A5" s="40"/>
      <c r="B5" s="40"/>
      <c r="C5" s="41" t="s">
        <v>98</v>
      </c>
      <c r="D5" s="42" t="s">
        <v>89</v>
      </c>
      <c r="E5" s="42" t="s">
        <v>99</v>
      </c>
      <c r="F5" s="42" t="s">
        <v>89</v>
      </c>
      <c r="G5" s="42" t="s">
        <v>99</v>
      </c>
      <c r="H5" s="42" t="s">
        <v>89</v>
      </c>
      <c r="I5" s="42" t="s">
        <v>99</v>
      </c>
      <c r="J5" s="42" t="s">
        <v>89</v>
      </c>
      <c r="K5" s="42" t="s">
        <v>99</v>
      </c>
      <c r="L5" s="42" t="s">
        <v>89</v>
      </c>
      <c r="M5" s="42" t="s">
        <v>99</v>
      </c>
      <c r="N5" s="42" t="s">
        <v>89</v>
      </c>
      <c r="O5" s="42" t="s">
        <v>99</v>
      </c>
      <c r="P5" s="42" t="s">
        <v>89</v>
      </c>
      <c r="Q5" s="42" t="s">
        <v>99</v>
      </c>
      <c r="R5" s="42" t="s">
        <v>89</v>
      </c>
      <c r="S5" s="42" t="s">
        <v>99</v>
      </c>
      <c r="T5" s="42" t="s">
        <v>89</v>
      </c>
      <c r="U5" s="42" t="s">
        <v>99</v>
      </c>
      <c r="V5" s="42" t="s">
        <v>89</v>
      </c>
      <c r="W5" s="42" t="s">
        <v>99</v>
      </c>
      <c r="X5" s="42" t="s">
        <v>89</v>
      </c>
      <c r="Y5" s="42" t="s">
        <v>99</v>
      </c>
      <c r="Z5" s="42" t="s">
        <v>89</v>
      </c>
      <c r="AA5" s="42" t="s">
        <v>99</v>
      </c>
      <c r="AB5" s="42" t="s">
        <v>89</v>
      </c>
      <c r="AC5" s="42" t="s">
        <v>99</v>
      </c>
      <c r="AD5" s="42" t="s">
        <v>89</v>
      </c>
      <c r="AE5" s="42" t="s">
        <v>99</v>
      </c>
      <c r="AF5" s="42" t="s">
        <v>89</v>
      </c>
      <c r="AG5" s="42" t="s">
        <v>99</v>
      </c>
    </row>
    <row r="6" spans="1:33" ht="19.5" customHeight="1" x14ac:dyDescent="0.25">
      <c r="A6" s="12">
        <v>1</v>
      </c>
      <c r="B6" s="48" t="str">
        <f>Fixture!C5&amp;" vs "&amp;Fixture!F5</f>
        <v>México vs Sudáfrica</v>
      </c>
      <c r="C6" s="43" t="str">
        <f>IF(ISNUMBER(Fixture!D5),Fixture!D5&amp;"-"&amp;Fixture!E5,"")</f>
        <v>2-0</v>
      </c>
      <c r="D6" s="2">
        <v>2</v>
      </c>
      <c r="E6" s="2">
        <v>1</v>
      </c>
      <c r="F6" s="2">
        <v>1</v>
      </c>
      <c r="G6" s="2">
        <v>1</v>
      </c>
      <c r="H6" s="2">
        <v>3</v>
      </c>
      <c r="I6" s="2">
        <v>0</v>
      </c>
      <c r="J6" s="2">
        <v>2</v>
      </c>
      <c r="K6" s="2">
        <v>0</v>
      </c>
      <c r="L6" s="2">
        <v>3</v>
      </c>
      <c r="M6" s="2">
        <v>1</v>
      </c>
      <c r="N6" s="2">
        <v>3</v>
      </c>
      <c r="O6" s="2">
        <v>1</v>
      </c>
      <c r="P6" s="2">
        <v>4</v>
      </c>
      <c r="Q6" s="2">
        <v>1</v>
      </c>
      <c r="R6" s="2">
        <v>2</v>
      </c>
      <c r="S6" s="2">
        <v>1</v>
      </c>
      <c r="T6" s="2">
        <v>2</v>
      </c>
      <c r="U6" s="2">
        <v>1</v>
      </c>
      <c r="V6" s="2">
        <v>3</v>
      </c>
      <c r="W6" s="2">
        <v>0</v>
      </c>
      <c r="X6" s="2">
        <v>2</v>
      </c>
      <c r="Y6" s="2">
        <v>0</v>
      </c>
      <c r="Z6" s="2">
        <v>2</v>
      </c>
      <c r="AA6" s="2">
        <v>1</v>
      </c>
      <c r="AB6" s="2"/>
      <c r="AC6" s="2"/>
      <c r="AD6" s="2"/>
      <c r="AE6" s="2"/>
      <c r="AF6" s="2"/>
      <c r="AG6" s="2"/>
    </row>
    <row r="7" spans="1:33" ht="19.5" customHeight="1" x14ac:dyDescent="0.25">
      <c r="A7" s="15">
        <v>2</v>
      </c>
      <c r="B7" s="49" t="str">
        <f>Fixture!C6&amp;" vs "&amp;Fixture!F6</f>
        <v>Corea del Sur vs Chequia</v>
      </c>
      <c r="C7" s="43" t="str">
        <f>IF(ISNUMBER(Fixture!D6),Fixture!D6&amp;"-"&amp;Fixture!E6,"")</f>
        <v>2-1</v>
      </c>
      <c r="D7" s="6">
        <v>1</v>
      </c>
      <c r="E7" s="6">
        <v>3</v>
      </c>
      <c r="F7" s="6">
        <v>1</v>
      </c>
      <c r="G7" s="6">
        <v>1</v>
      </c>
      <c r="H7" s="6">
        <v>1</v>
      </c>
      <c r="I7" s="6">
        <v>2</v>
      </c>
      <c r="J7" s="6">
        <v>2</v>
      </c>
      <c r="K7" s="6">
        <v>2</v>
      </c>
      <c r="L7" s="6">
        <v>1</v>
      </c>
      <c r="M7" s="6">
        <v>0</v>
      </c>
      <c r="N7" s="6">
        <v>1</v>
      </c>
      <c r="O7" s="6">
        <v>1</v>
      </c>
      <c r="P7" s="6">
        <v>2</v>
      </c>
      <c r="Q7" s="6">
        <v>0</v>
      </c>
      <c r="R7" s="6">
        <v>1</v>
      </c>
      <c r="S7" s="6">
        <v>0</v>
      </c>
      <c r="T7" s="6">
        <v>1</v>
      </c>
      <c r="U7" s="6">
        <v>1</v>
      </c>
      <c r="V7" s="6">
        <v>0</v>
      </c>
      <c r="W7" s="6">
        <v>0</v>
      </c>
      <c r="X7" s="6">
        <v>2</v>
      </c>
      <c r="Y7" s="6">
        <v>1</v>
      </c>
      <c r="Z7" s="6">
        <v>2</v>
      </c>
      <c r="AA7" s="6">
        <v>0</v>
      </c>
      <c r="AB7" s="6"/>
      <c r="AC7" s="6"/>
      <c r="AD7" s="6"/>
      <c r="AE7" s="6"/>
      <c r="AF7" s="6"/>
      <c r="AG7" s="6"/>
    </row>
    <row r="8" spans="1:33" ht="19.5" customHeight="1" x14ac:dyDescent="0.25">
      <c r="A8" s="12">
        <v>3</v>
      </c>
      <c r="B8" s="11" t="str">
        <f>Fixture!C7&amp;" vs "&amp;Fixture!F7</f>
        <v>Chequia vs Sudáfrica</v>
      </c>
      <c r="C8" s="43" t="str">
        <f>IF(ISNUMBER(Fixture!D7),Fixture!D7&amp;"-"&amp;Fixture!E7,"")</f>
        <v/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9.5" customHeight="1" x14ac:dyDescent="0.25">
      <c r="A9" s="15">
        <v>4</v>
      </c>
      <c r="B9" s="14" t="str">
        <f>Fixture!C8&amp;" vs "&amp;Fixture!F8</f>
        <v>México vs Corea del Sur</v>
      </c>
      <c r="C9" s="43" t="str">
        <f>IF(ISNUMBER(Fixture!D8),Fixture!D8&amp;"-"&amp;Fixture!E8,"")</f>
        <v/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ht="19.5" customHeight="1" x14ac:dyDescent="0.25">
      <c r="A10" s="12">
        <v>5</v>
      </c>
      <c r="B10" s="11" t="str">
        <f>Fixture!C9&amp;" vs "&amp;Fixture!F9</f>
        <v>Chequia vs México</v>
      </c>
      <c r="C10" s="43" t="str">
        <f>IF(ISNUMBER(Fixture!D9),Fixture!D9&amp;"-"&amp;Fixture!E9,"")</f>
        <v/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9.5" customHeight="1" x14ac:dyDescent="0.25">
      <c r="A11" s="15">
        <v>6</v>
      </c>
      <c r="B11" s="14" t="str">
        <f>Fixture!C10&amp;" vs "&amp;Fixture!F10</f>
        <v>Sudáfrica vs Corea del Sur</v>
      </c>
      <c r="C11" s="43" t="str">
        <f>IF(ISNUMBER(Fixture!D10),Fixture!D10&amp;"-"&amp;Fixture!E10,"")</f>
        <v/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ht="19.5" customHeight="1" x14ac:dyDescent="0.25">
      <c r="A12" s="12">
        <v>7</v>
      </c>
      <c r="B12" s="48" t="str">
        <f>Fixture!C11&amp;" vs "&amp;Fixture!F11</f>
        <v>Canadá vs Bosnia-Herzegovina</v>
      </c>
      <c r="C12" s="43" t="str">
        <f>IF(ISNUMBER(Fixture!D11),Fixture!D11&amp;"-"&amp;Fixture!E11,"")</f>
        <v>1-1</v>
      </c>
      <c r="D12" s="2">
        <v>0</v>
      </c>
      <c r="E12" s="2">
        <v>2</v>
      </c>
      <c r="F12" s="2">
        <v>2</v>
      </c>
      <c r="G12" s="2">
        <v>0</v>
      </c>
      <c r="H12" s="2">
        <v>2</v>
      </c>
      <c r="I12" s="2">
        <v>2</v>
      </c>
      <c r="J12" s="2">
        <v>1</v>
      </c>
      <c r="K12" s="2">
        <v>1</v>
      </c>
      <c r="L12" s="2">
        <v>2</v>
      </c>
      <c r="M12" s="2">
        <v>0</v>
      </c>
      <c r="N12" s="2">
        <v>1</v>
      </c>
      <c r="O12" s="2">
        <v>1</v>
      </c>
      <c r="P12" s="2">
        <v>1</v>
      </c>
      <c r="Q12" s="2">
        <v>0</v>
      </c>
      <c r="R12" s="2">
        <v>1</v>
      </c>
      <c r="S12" s="2">
        <v>0</v>
      </c>
      <c r="T12" s="2">
        <v>1</v>
      </c>
      <c r="U12" s="2">
        <v>0</v>
      </c>
      <c r="V12" s="2">
        <v>1</v>
      </c>
      <c r="W12" s="2">
        <v>1</v>
      </c>
      <c r="X12" s="2">
        <v>1</v>
      </c>
      <c r="Y12" s="2">
        <v>1</v>
      </c>
      <c r="Z12" s="2">
        <v>2</v>
      </c>
      <c r="AA12" s="2">
        <v>0</v>
      </c>
      <c r="AB12" s="2"/>
      <c r="AC12" s="2"/>
      <c r="AD12" s="2"/>
      <c r="AE12" s="2"/>
      <c r="AF12" s="2"/>
      <c r="AG12" s="2"/>
    </row>
    <row r="13" spans="1:33" ht="19.5" customHeight="1" x14ac:dyDescent="0.25">
      <c r="A13" s="15">
        <v>8</v>
      </c>
      <c r="B13" s="49" t="str">
        <f>Fixture!C12&amp;" vs "&amp;Fixture!F12</f>
        <v>Qatar vs Suiza</v>
      </c>
      <c r="C13" s="43" t="str">
        <f>IF(ISNUMBER(Fixture!D12),Fixture!D12&amp;"-"&amp;Fixture!E12,"")</f>
        <v>1-1</v>
      </c>
      <c r="D13" s="6">
        <v>0</v>
      </c>
      <c r="E13" s="6">
        <v>2</v>
      </c>
      <c r="F13" s="6">
        <v>0</v>
      </c>
      <c r="G13" s="6">
        <v>2</v>
      </c>
      <c r="H13" s="6">
        <v>0</v>
      </c>
      <c r="I13" s="6">
        <v>2</v>
      </c>
      <c r="J13" s="6">
        <v>2</v>
      </c>
      <c r="K13" s="6">
        <v>1</v>
      </c>
      <c r="L13" s="6">
        <v>0</v>
      </c>
      <c r="M13" s="6">
        <v>3</v>
      </c>
      <c r="N13" s="6">
        <v>0</v>
      </c>
      <c r="O13" s="6">
        <v>2</v>
      </c>
      <c r="P13" s="6"/>
      <c r="Q13" s="6"/>
      <c r="R13" s="6"/>
      <c r="S13" s="6"/>
      <c r="T13" s="6">
        <v>0</v>
      </c>
      <c r="U13" s="6">
        <v>2</v>
      </c>
      <c r="V13" s="6">
        <v>1</v>
      </c>
      <c r="W13" s="6">
        <v>2</v>
      </c>
      <c r="X13" s="6">
        <v>0</v>
      </c>
      <c r="Y13" s="6">
        <v>3</v>
      </c>
      <c r="Z13" s="6"/>
      <c r="AA13" s="6"/>
      <c r="AB13" s="6"/>
      <c r="AC13" s="6"/>
      <c r="AD13" s="6"/>
      <c r="AE13" s="6"/>
      <c r="AF13" s="6"/>
      <c r="AG13" s="6"/>
    </row>
    <row r="14" spans="1:33" ht="19.5" customHeight="1" x14ac:dyDescent="0.25">
      <c r="A14" s="12">
        <v>9</v>
      </c>
      <c r="B14" s="11" t="str">
        <f>Fixture!C13&amp;" vs "&amp;Fixture!F13</f>
        <v>Suiza vs Bosnia-Herzegovina</v>
      </c>
      <c r="C14" s="43" t="str">
        <f>IF(ISNUMBER(Fixture!D13),Fixture!D13&amp;"-"&amp;Fixture!E13,"")</f>
        <v/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9.5" customHeight="1" x14ac:dyDescent="0.25">
      <c r="A15" s="15">
        <v>10</v>
      </c>
      <c r="B15" s="14" t="str">
        <f>Fixture!C14&amp;" vs "&amp;Fixture!F14</f>
        <v>Canadá vs Qatar</v>
      </c>
      <c r="C15" s="43" t="str">
        <f>IF(ISNUMBER(Fixture!D14),Fixture!D14&amp;"-"&amp;Fixture!E14,"")</f>
        <v/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ht="19.5" customHeight="1" x14ac:dyDescent="0.25">
      <c r="A16" s="12">
        <v>11</v>
      </c>
      <c r="B16" s="11" t="str">
        <f>Fixture!C15&amp;" vs "&amp;Fixture!F15</f>
        <v>Suiza vs Canadá</v>
      </c>
      <c r="C16" s="43" t="str">
        <f>IF(ISNUMBER(Fixture!D15),Fixture!D15&amp;"-"&amp;Fixture!E15,"")</f>
        <v/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9.5" customHeight="1" x14ac:dyDescent="0.25">
      <c r="A17" s="15">
        <v>12</v>
      </c>
      <c r="B17" s="14" t="str">
        <f>Fixture!C16&amp;" vs "&amp;Fixture!F16</f>
        <v>Bosnia-Herzegovina vs Qatar</v>
      </c>
      <c r="C17" s="43" t="str">
        <f>IF(ISNUMBER(Fixture!D16),Fixture!D16&amp;"-"&amp;Fixture!E16,"")</f>
        <v/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ht="19.5" customHeight="1" x14ac:dyDescent="0.25">
      <c r="A18" s="12">
        <v>13</v>
      </c>
      <c r="B18" s="48" t="str">
        <f>Fixture!C17&amp;" vs "&amp;Fixture!F17</f>
        <v>Brasil vs Marruecos</v>
      </c>
      <c r="C18" s="43" t="str">
        <f>IF(ISNUMBER(Fixture!D17),Fixture!D17&amp;"-"&amp;Fixture!E17,"")</f>
        <v>1-1</v>
      </c>
      <c r="D18" s="2">
        <v>1</v>
      </c>
      <c r="E18" s="2">
        <v>1</v>
      </c>
      <c r="F18" s="2">
        <v>1</v>
      </c>
      <c r="G18" s="2">
        <v>0</v>
      </c>
      <c r="H18" s="2">
        <v>2</v>
      </c>
      <c r="I18" s="2">
        <v>1</v>
      </c>
      <c r="J18" s="2">
        <v>2</v>
      </c>
      <c r="K18" s="2">
        <v>2</v>
      </c>
      <c r="L18" s="2">
        <v>2</v>
      </c>
      <c r="M18" s="2">
        <v>1</v>
      </c>
      <c r="N18" s="2">
        <v>2</v>
      </c>
      <c r="O18" s="2">
        <v>1</v>
      </c>
      <c r="P18" s="2">
        <v>3</v>
      </c>
      <c r="Q18" s="2">
        <v>1</v>
      </c>
      <c r="R18" s="2"/>
      <c r="S18" s="2"/>
      <c r="T18" s="2">
        <v>2</v>
      </c>
      <c r="U18" s="2">
        <v>1</v>
      </c>
      <c r="V18" s="2">
        <v>2</v>
      </c>
      <c r="W18" s="2">
        <v>2</v>
      </c>
      <c r="X18" s="2">
        <v>2</v>
      </c>
      <c r="Y18" s="2">
        <v>1</v>
      </c>
      <c r="Z18" s="2">
        <v>2</v>
      </c>
      <c r="AA18" s="2">
        <v>0</v>
      </c>
      <c r="AB18" s="2"/>
      <c r="AC18" s="2"/>
      <c r="AD18" s="2"/>
      <c r="AE18" s="2"/>
      <c r="AF18" s="2"/>
      <c r="AG18" s="2"/>
    </row>
    <row r="19" spans="1:33" ht="19.5" customHeight="1" x14ac:dyDescent="0.25">
      <c r="A19" s="15">
        <v>14</v>
      </c>
      <c r="B19" s="49" t="str">
        <f>Fixture!C18&amp;" vs "&amp;Fixture!F18</f>
        <v>Haití vs Escocia</v>
      </c>
      <c r="C19" s="43" t="str">
        <f>IF(ISNUMBER(Fixture!D18),Fixture!D18&amp;"-"&amp;Fixture!E18,"")</f>
        <v>0-1</v>
      </c>
      <c r="D19" s="6">
        <v>0</v>
      </c>
      <c r="E19" s="6">
        <v>2</v>
      </c>
      <c r="F19" s="6">
        <v>1</v>
      </c>
      <c r="G19" s="6">
        <v>2</v>
      </c>
      <c r="H19" s="6">
        <v>0</v>
      </c>
      <c r="I19" s="6">
        <v>2</v>
      </c>
      <c r="J19" s="6">
        <v>0</v>
      </c>
      <c r="K19" s="6">
        <v>4</v>
      </c>
      <c r="L19" s="6">
        <v>0</v>
      </c>
      <c r="M19" s="6">
        <v>2</v>
      </c>
      <c r="N19" s="6">
        <v>0</v>
      </c>
      <c r="O19" s="6">
        <v>3</v>
      </c>
      <c r="P19" s="6">
        <v>1</v>
      </c>
      <c r="Q19" s="6">
        <v>1</v>
      </c>
      <c r="R19" s="6"/>
      <c r="S19" s="6"/>
      <c r="T19" s="6">
        <v>0</v>
      </c>
      <c r="U19" s="6">
        <v>2</v>
      </c>
      <c r="V19" s="6">
        <v>0</v>
      </c>
      <c r="W19" s="6">
        <v>2</v>
      </c>
      <c r="X19" s="6">
        <v>1</v>
      </c>
      <c r="Y19" s="6">
        <v>3</v>
      </c>
      <c r="Z19" s="6">
        <v>1</v>
      </c>
      <c r="AA19" s="6">
        <v>1</v>
      </c>
      <c r="AB19" s="6"/>
      <c r="AC19" s="6"/>
      <c r="AD19" s="6"/>
      <c r="AE19" s="6"/>
      <c r="AF19" s="6"/>
      <c r="AG19" s="6"/>
    </row>
    <row r="20" spans="1:33" ht="19.5" customHeight="1" x14ac:dyDescent="0.25">
      <c r="A20" s="12">
        <v>15</v>
      </c>
      <c r="B20" s="11" t="str">
        <f>Fixture!C19&amp;" vs "&amp;Fixture!F19</f>
        <v>Escocia vs Marruecos</v>
      </c>
      <c r="C20" s="43" t="str">
        <f>IF(ISNUMBER(Fixture!D19),Fixture!D19&amp;"-"&amp;Fixture!E19,"")</f>
        <v/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9.5" customHeight="1" x14ac:dyDescent="0.25">
      <c r="A21" s="15">
        <v>16</v>
      </c>
      <c r="B21" s="14" t="str">
        <f>Fixture!C20&amp;" vs "&amp;Fixture!F20</f>
        <v>Brasil vs Haití</v>
      </c>
      <c r="C21" s="43" t="str">
        <f>IF(ISNUMBER(Fixture!D20),Fixture!D20&amp;"-"&amp;Fixture!E20,"")</f>
        <v/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1:33" ht="19.5" customHeight="1" x14ac:dyDescent="0.25">
      <c r="A22" s="12">
        <v>17</v>
      </c>
      <c r="B22" s="11" t="str">
        <f>Fixture!C21&amp;" vs "&amp;Fixture!F21</f>
        <v>Escocia vs Brasil</v>
      </c>
      <c r="C22" s="43" t="str">
        <f>IF(ISNUMBER(Fixture!D21),Fixture!D21&amp;"-"&amp;Fixture!E21,"")</f>
        <v/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9.5" customHeight="1" x14ac:dyDescent="0.25">
      <c r="A23" s="15">
        <v>18</v>
      </c>
      <c r="B23" s="14" t="str">
        <f>Fixture!C22&amp;" vs "&amp;Fixture!F22</f>
        <v>Marruecos vs Haití</v>
      </c>
      <c r="C23" s="43" t="str">
        <f>IF(ISNUMBER(Fixture!D22),Fixture!D22&amp;"-"&amp;Fixture!E22,"")</f>
        <v/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1:33" ht="19.5" customHeight="1" x14ac:dyDescent="0.25">
      <c r="A24" s="12">
        <v>19</v>
      </c>
      <c r="B24" s="48" t="str">
        <f>Fixture!C23&amp;" vs "&amp;Fixture!F23</f>
        <v>Estados Unidos vs Paraguay</v>
      </c>
      <c r="C24" s="43" t="str">
        <f>IF(ISNUMBER(Fixture!D23),Fixture!D23&amp;"-"&amp;Fixture!E23,"")</f>
        <v>4-1</v>
      </c>
      <c r="D24" s="2">
        <v>2</v>
      </c>
      <c r="E24" s="2">
        <v>0</v>
      </c>
      <c r="F24" s="2">
        <v>0</v>
      </c>
      <c r="G24" s="2">
        <v>1</v>
      </c>
      <c r="H24" s="2">
        <v>1</v>
      </c>
      <c r="I24" s="2">
        <v>0</v>
      </c>
      <c r="J24" s="2">
        <v>3</v>
      </c>
      <c r="K24" s="2">
        <v>1</v>
      </c>
      <c r="L24" s="2">
        <v>1</v>
      </c>
      <c r="M24" s="2">
        <v>2</v>
      </c>
      <c r="N24" s="2">
        <v>1</v>
      </c>
      <c r="O24" s="2">
        <v>2</v>
      </c>
      <c r="P24" s="2">
        <v>1</v>
      </c>
      <c r="Q24" s="2">
        <v>1</v>
      </c>
      <c r="R24" s="2">
        <v>2</v>
      </c>
      <c r="S24" s="2">
        <v>1</v>
      </c>
      <c r="T24" s="2">
        <v>2</v>
      </c>
      <c r="U24" s="2">
        <v>1</v>
      </c>
      <c r="V24" s="2">
        <v>1</v>
      </c>
      <c r="W24" s="2">
        <v>1</v>
      </c>
      <c r="X24" s="2">
        <v>2</v>
      </c>
      <c r="Y24" s="2">
        <v>1</v>
      </c>
      <c r="Z24" s="2">
        <v>2</v>
      </c>
      <c r="AA24" s="2">
        <v>1</v>
      </c>
      <c r="AB24" s="2"/>
      <c r="AC24" s="2"/>
      <c r="AD24" s="2"/>
      <c r="AE24" s="2"/>
      <c r="AF24" s="2"/>
      <c r="AG24" s="2"/>
    </row>
    <row r="25" spans="1:33" ht="19.5" customHeight="1" x14ac:dyDescent="0.25">
      <c r="A25" s="15">
        <v>20</v>
      </c>
      <c r="B25" s="49" t="str">
        <f>Fixture!C24&amp;" vs "&amp;Fixture!F24</f>
        <v>Australia vs Turquía</v>
      </c>
      <c r="C25" s="43" t="str">
        <f>IF(ISNUMBER(Fixture!D24),Fixture!D24&amp;"-"&amp;Fixture!E24,"")</f>
        <v>2-0</v>
      </c>
      <c r="D25" s="6">
        <v>1</v>
      </c>
      <c r="E25" s="6">
        <v>2</v>
      </c>
      <c r="F25" s="6">
        <v>1</v>
      </c>
      <c r="G25" s="6">
        <v>1</v>
      </c>
      <c r="H25" s="6">
        <v>1</v>
      </c>
      <c r="I25" s="6">
        <v>1</v>
      </c>
      <c r="J25" s="6">
        <v>0</v>
      </c>
      <c r="K25" s="6">
        <v>2</v>
      </c>
      <c r="L25" s="6">
        <v>1</v>
      </c>
      <c r="M25" s="6">
        <v>1</v>
      </c>
      <c r="N25" s="6">
        <v>1</v>
      </c>
      <c r="O25" s="6">
        <v>3</v>
      </c>
      <c r="P25" s="6">
        <v>1</v>
      </c>
      <c r="Q25" s="6">
        <v>2</v>
      </c>
      <c r="R25" s="6"/>
      <c r="S25" s="6"/>
      <c r="T25" s="6">
        <v>1</v>
      </c>
      <c r="U25" s="6">
        <v>2</v>
      </c>
      <c r="V25" s="6">
        <v>1</v>
      </c>
      <c r="W25" s="6">
        <v>2</v>
      </c>
      <c r="X25" s="6">
        <v>1</v>
      </c>
      <c r="Y25" s="6">
        <v>1</v>
      </c>
      <c r="Z25" s="6"/>
      <c r="AA25" s="6"/>
      <c r="AB25" s="6"/>
      <c r="AC25" s="6"/>
      <c r="AD25" s="6"/>
      <c r="AE25" s="6"/>
      <c r="AF25" s="6"/>
      <c r="AG25" s="6"/>
    </row>
    <row r="26" spans="1:33" ht="19.5" customHeight="1" x14ac:dyDescent="0.25">
      <c r="A26" s="12">
        <v>21</v>
      </c>
      <c r="B26" s="11" t="str">
        <f>Fixture!C25&amp;" vs "&amp;Fixture!F25</f>
        <v>Estados Unidos vs Australia</v>
      </c>
      <c r="C26" s="43" t="str">
        <f>IF(ISNUMBER(Fixture!D25),Fixture!D25&amp;"-"&amp;Fixture!E25,"")</f>
        <v/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9.5" customHeight="1" x14ac:dyDescent="0.25">
      <c r="A27" s="15">
        <v>22</v>
      </c>
      <c r="B27" s="14" t="str">
        <f>Fixture!C26&amp;" vs "&amp;Fixture!F26</f>
        <v>Turquía vs Paraguay</v>
      </c>
      <c r="C27" s="43" t="str">
        <f>IF(ISNUMBER(Fixture!D26),Fixture!D26&amp;"-"&amp;Fixture!E26,"")</f>
        <v/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3" ht="19.5" customHeight="1" x14ac:dyDescent="0.25">
      <c r="A28" s="12">
        <v>23</v>
      </c>
      <c r="B28" s="11" t="str">
        <f>Fixture!C27&amp;" vs "&amp;Fixture!F27</f>
        <v>Turquía vs Estados Unidos</v>
      </c>
      <c r="C28" s="43" t="str">
        <f>IF(ISNUMBER(Fixture!D27),Fixture!D27&amp;"-"&amp;Fixture!E27,"")</f>
        <v/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9.5" customHeight="1" x14ac:dyDescent="0.25">
      <c r="A29" s="15">
        <v>24</v>
      </c>
      <c r="B29" s="14" t="str">
        <f>Fixture!C28&amp;" vs "&amp;Fixture!F28</f>
        <v>Paraguay vs Australia</v>
      </c>
      <c r="C29" s="43" t="str">
        <f>IF(ISNUMBER(Fixture!D28),Fixture!D28&amp;"-"&amp;Fixture!E28,"")</f>
        <v/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 ht="19.5" customHeight="1" x14ac:dyDescent="0.25">
      <c r="A30" s="12">
        <v>25</v>
      </c>
      <c r="B30" s="11" t="str">
        <f>Fixture!C29&amp;" vs "&amp;Fixture!F29</f>
        <v>Alemania vs Curazao</v>
      </c>
      <c r="C30" s="43" t="str">
        <f>IF(ISNUMBER(Fixture!D29),Fixture!D29&amp;"-"&amp;Fixture!E29,"")</f>
        <v/>
      </c>
      <c r="D30" s="2">
        <v>5</v>
      </c>
      <c r="E30" s="2">
        <v>0</v>
      </c>
      <c r="F30" s="2">
        <v>3</v>
      </c>
      <c r="G30" s="2">
        <v>0</v>
      </c>
      <c r="H30" s="2">
        <v>7</v>
      </c>
      <c r="I30" s="2">
        <v>0</v>
      </c>
      <c r="J30" s="2">
        <v>6</v>
      </c>
      <c r="K30" s="2">
        <v>0</v>
      </c>
      <c r="L30" s="2">
        <v>4</v>
      </c>
      <c r="M30" s="2">
        <v>0</v>
      </c>
      <c r="N30" s="2">
        <v>6</v>
      </c>
      <c r="O30" s="2">
        <v>0</v>
      </c>
      <c r="P30" s="2">
        <v>2</v>
      </c>
      <c r="Q30" s="2">
        <v>0</v>
      </c>
      <c r="R30" s="2"/>
      <c r="S30" s="2"/>
      <c r="T30" s="2"/>
      <c r="U30" s="2"/>
      <c r="V30" s="2">
        <v>4</v>
      </c>
      <c r="W30" s="2">
        <v>0</v>
      </c>
      <c r="X30" s="2">
        <v>4</v>
      </c>
      <c r="Y30" s="2">
        <v>0</v>
      </c>
      <c r="Z30" s="2"/>
      <c r="AA30" s="2"/>
      <c r="AB30" s="2"/>
      <c r="AC30" s="2"/>
      <c r="AD30" s="2"/>
      <c r="AE30" s="2"/>
      <c r="AF30" s="2"/>
      <c r="AG30" s="2"/>
    </row>
    <row r="31" spans="1:33" ht="19.5" customHeight="1" x14ac:dyDescent="0.25">
      <c r="A31" s="15">
        <v>26</v>
      </c>
      <c r="B31" s="14" t="str">
        <f>Fixture!C30&amp;" vs "&amp;Fixture!F30</f>
        <v>Costa de Marfil vs Ecuador</v>
      </c>
      <c r="C31" s="43" t="str">
        <f>IF(ISNUMBER(Fixture!D30),Fixture!D30&amp;"-"&amp;Fixture!E30,"")</f>
        <v/>
      </c>
      <c r="D31" s="6">
        <v>1</v>
      </c>
      <c r="E31" s="6">
        <v>1</v>
      </c>
      <c r="F31" s="6">
        <v>1</v>
      </c>
      <c r="G31" s="6">
        <v>3</v>
      </c>
      <c r="H31" s="6">
        <v>2</v>
      </c>
      <c r="I31" s="6">
        <v>2</v>
      </c>
      <c r="J31" s="6">
        <v>0</v>
      </c>
      <c r="K31" s="6">
        <v>2</v>
      </c>
      <c r="L31" s="6"/>
      <c r="M31" s="6"/>
      <c r="N31" s="6">
        <v>0</v>
      </c>
      <c r="O31" s="6">
        <v>1</v>
      </c>
      <c r="P31" s="6">
        <v>1</v>
      </c>
      <c r="Q31" s="6">
        <v>1</v>
      </c>
      <c r="R31" s="6"/>
      <c r="S31" s="6"/>
      <c r="T31" s="6"/>
      <c r="U31" s="6"/>
      <c r="V31" s="6">
        <v>1</v>
      </c>
      <c r="W31" s="6">
        <v>1</v>
      </c>
      <c r="X31" s="6">
        <v>2</v>
      </c>
      <c r="Y31" s="6">
        <v>1</v>
      </c>
      <c r="Z31" s="6"/>
      <c r="AA31" s="6"/>
      <c r="AB31" s="6"/>
      <c r="AC31" s="6"/>
      <c r="AD31" s="6"/>
      <c r="AE31" s="6"/>
      <c r="AF31" s="6"/>
      <c r="AG31" s="6"/>
    </row>
    <row r="32" spans="1:33" ht="19.5" customHeight="1" x14ac:dyDescent="0.25">
      <c r="A32" s="12">
        <v>27</v>
      </c>
      <c r="B32" s="11" t="str">
        <f>Fixture!C31&amp;" vs "&amp;Fixture!F31</f>
        <v>Alemania vs Costa de Marfil</v>
      </c>
      <c r="C32" s="43" t="str">
        <f>IF(ISNUMBER(Fixture!D31),Fixture!D31&amp;"-"&amp;Fixture!E31,"")</f>
        <v/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9.5" customHeight="1" x14ac:dyDescent="0.25">
      <c r="A33" s="15">
        <v>28</v>
      </c>
      <c r="B33" s="14" t="str">
        <f>Fixture!C32&amp;" vs "&amp;Fixture!F32</f>
        <v>Ecuador vs Curazao</v>
      </c>
      <c r="C33" s="43" t="str">
        <f>IF(ISNUMBER(Fixture!D32),Fixture!D32&amp;"-"&amp;Fixture!E32,"")</f>
        <v/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spans="1:33" ht="19.5" customHeight="1" x14ac:dyDescent="0.25">
      <c r="A34" s="12">
        <v>29</v>
      </c>
      <c r="B34" s="11" t="str">
        <f>Fixture!C33&amp;" vs "&amp;Fixture!F33</f>
        <v>Ecuador vs Alemania</v>
      </c>
      <c r="C34" s="43" t="str">
        <f>IF(ISNUMBER(Fixture!D33),Fixture!D33&amp;"-"&amp;Fixture!E33,"")</f>
        <v/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9.5" customHeight="1" x14ac:dyDescent="0.25">
      <c r="A35" s="15">
        <v>30</v>
      </c>
      <c r="B35" s="14" t="str">
        <f>Fixture!C34&amp;" vs "&amp;Fixture!F34</f>
        <v>Curazao vs Costa de Marfil</v>
      </c>
      <c r="C35" s="43" t="str">
        <f>IF(ISNUMBER(Fixture!D34),Fixture!D34&amp;"-"&amp;Fixture!E34,"")</f>
        <v/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 ht="19.5" customHeight="1" x14ac:dyDescent="0.25">
      <c r="A36" s="12">
        <v>31</v>
      </c>
      <c r="B36" s="11" t="str">
        <f>Fixture!C35&amp;" vs "&amp;Fixture!F35</f>
        <v>Países Bajos vs Japón</v>
      </c>
      <c r="C36" s="43" t="str">
        <f>IF(ISNUMBER(Fixture!D35),Fixture!D35&amp;"-"&amp;Fixture!E35,"")</f>
        <v/>
      </c>
      <c r="D36" s="2">
        <v>2</v>
      </c>
      <c r="E36" s="2">
        <v>2</v>
      </c>
      <c r="F36" s="2">
        <v>2</v>
      </c>
      <c r="G36" s="2">
        <v>2</v>
      </c>
      <c r="H36" s="2">
        <v>1</v>
      </c>
      <c r="I36" s="2">
        <v>1</v>
      </c>
      <c r="J36" s="2">
        <v>3</v>
      </c>
      <c r="K36" s="2">
        <v>2</v>
      </c>
      <c r="L36" s="2">
        <v>1</v>
      </c>
      <c r="M36" s="2">
        <v>1</v>
      </c>
      <c r="N36" s="2">
        <v>2</v>
      </c>
      <c r="O36" s="2">
        <v>1</v>
      </c>
      <c r="P36" s="2">
        <v>1</v>
      </c>
      <c r="Q36" s="2">
        <v>2</v>
      </c>
      <c r="R36" s="2"/>
      <c r="S36" s="2"/>
      <c r="T36" s="2"/>
      <c r="U36" s="2"/>
      <c r="V36" s="2">
        <v>2</v>
      </c>
      <c r="W36" s="2">
        <v>2</v>
      </c>
      <c r="X36" s="2">
        <v>1</v>
      </c>
      <c r="Y36" s="2">
        <v>1</v>
      </c>
      <c r="Z36" s="2"/>
      <c r="AA36" s="2"/>
      <c r="AB36" s="2"/>
      <c r="AC36" s="2"/>
      <c r="AD36" s="2"/>
      <c r="AE36" s="2"/>
      <c r="AF36" s="2"/>
      <c r="AG36" s="2"/>
    </row>
    <row r="37" spans="1:33" ht="19.5" customHeight="1" x14ac:dyDescent="0.25">
      <c r="A37" s="15">
        <v>32</v>
      </c>
      <c r="B37" s="14" t="str">
        <f>Fixture!C36&amp;" vs "&amp;Fixture!F36</f>
        <v>Suecia vs Túnez</v>
      </c>
      <c r="C37" s="43" t="str">
        <f>IF(ISNUMBER(Fixture!D36),Fixture!D36&amp;"-"&amp;Fixture!E36,"")</f>
        <v/>
      </c>
      <c r="D37" s="6">
        <v>2</v>
      </c>
      <c r="E37" s="6">
        <v>0</v>
      </c>
      <c r="F37" s="6">
        <v>2</v>
      </c>
      <c r="G37" s="6">
        <v>1</v>
      </c>
      <c r="H37" s="6">
        <v>1</v>
      </c>
      <c r="I37" s="6">
        <v>1</v>
      </c>
      <c r="J37" s="6">
        <v>1</v>
      </c>
      <c r="K37" s="6">
        <v>0</v>
      </c>
      <c r="L37" s="6"/>
      <c r="M37" s="6"/>
      <c r="N37" s="6">
        <v>2</v>
      </c>
      <c r="O37" s="6">
        <v>0</v>
      </c>
      <c r="P37" s="6">
        <v>2</v>
      </c>
      <c r="Q37" s="6">
        <v>1</v>
      </c>
      <c r="R37" s="6"/>
      <c r="S37" s="6"/>
      <c r="T37" s="6"/>
      <c r="U37" s="6"/>
      <c r="V37" s="6">
        <v>2</v>
      </c>
      <c r="W37" s="6">
        <v>0</v>
      </c>
      <c r="X37" s="6">
        <v>2</v>
      </c>
      <c r="Y37" s="6">
        <v>0</v>
      </c>
      <c r="Z37" s="6"/>
      <c r="AA37" s="6"/>
      <c r="AB37" s="6"/>
      <c r="AC37" s="6"/>
      <c r="AD37" s="6"/>
      <c r="AE37" s="6"/>
      <c r="AF37" s="6"/>
      <c r="AG37" s="6"/>
    </row>
    <row r="38" spans="1:33" ht="19.5" customHeight="1" x14ac:dyDescent="0.25">
      <c r="A38" s="12">
        <v>33</v>
      </c>
      <c r="B38" s="11" t="str">
        <f>Fixture!C37&amp;" vs "&amp;Fixture!F37</f>
        <v>Países Bajos vs Suecia</v>
      </c>
      <c r="C38" s="43" t="str">
        <f>IF(ISNUMBER(Fixture!D37),Fixture!D37&amp;"-"&amp;Fixture!E37,"")</f>
        <v/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9.5" customHeight="1" x14ac:dyDescent="0.25">
      <c r="A39" s="15">
        <v>34</v>
      </c>
      <c r="B39" s="14" t="str">
        <f>Fixture!C38&amp;" vs "&amp;Fixture!F38</f>
        <v>Túnez vs Japón</v>
      </c>
      <c r="C39" s="43" t="str">
        <f>IF(ISNUMBER(Fixture!D38),Fixture!D38&amp;"-"&amp;Fixture!E38,"")</f>
        <v/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ht="19.5" customHeight="1" x14ac:dyDescent="0.25">
      <c r="A40" s="12">
        <v>35</v>
      </c>
      <c r="B40" s="11" t="str">
        <f>Fixture!C39&amp;" vs "&amp;Fixture!F39</f>
        <v>Japón vs Suecia</v>
      </c>
      <c r="C40" s="43" t="str">
        <f>IF(ISNUMBER(Fixture!D39),Fixture!D39&amp;"-"&amp;Fixture!E39,"")</f>
        <v/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9.5" customHeight="1" x14ac:dyDescent="0.25">
      <c r="A41" s="15">
        <v>36</v>
      </c>
      <c r="B41" s="14" t="str">
        <f>Fixture!C40&amp;" vs "&amp;Fixture!F40</f>
        <v>Túnez vs Países Bajos</v>
      </c>
      <c r="C41" s="43" t="str">
        <f>IF(ISNUMBER(Fixture!D40),Fixture!D40&amp;"-"&amp;Fixture!E40,"")</f>
        <v/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spans="1:33" ht="19.5" customHeight="1" x14ac:dyDescent="0.25">
      <c r="A42" s="12">
        <v>37</v>
      </c>
      <c r="B42" s="11" t="str">
        <f>Fixture!C41&amp;" vs "&amp;Fixture!F41</f>
        <v>Bélgica vs Egipto</v>
      </c>
      <c r="C42" s="43" t="str">
        <f>IF(ISNUMBER(Fixture!D41),Fixture!D41&amp;"-"&amp;Fixture!E41,"")</f>
        <v/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9.5" customHeight="1" x14ac:dyDescent="0.25">
      <c r="A43" s="15">
        <v>38</v>
      </c>
      <c r="B43" s="14" t="str">
        <f>Fixture!C42&amp;" vs "&amp;Fixture!F42</f>
        <v>Irán vs Nueva Zelanda</v>
      </c>
      <c r="C43" s="43" t="str">
        <f>IF(ISNUMBER(Fixture!D42),Fixture!D42&amp;"-"&amp;Fixture!E42,"")</f>
        <v/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ht="19.5" customHeight="1" x14ac:dyDescent="0.25">
      <c r="A44" s="12">
        <v>39</v>
      </c>
      <c r="B44" s="11" t="str">
        <f>Fixture!C43&amp;" vs "&amp;Fixture!F43</f>
        <v>Bélgica vs Irán</v>
      </c>
      <c r="C44" s="43" t="str">
        <f>IF(ISNUMBER(Fixture!D43),Fixture!D43&amp;"-"&amp;Fixture!E43,"")</f>
        <v/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9.5" customHeight="1" x14ac:dyDescent="0.25">
      <c r="A45" s="15">
        <v>40</v>
      </c>
      <c r="B45" s="14" t="str">
        <f>Fixture!C44&amp;" vs "&amp;Fixture!F44</f>
        <v>Nueva Zelanda vs Egipto</v>
      </c>
      <c r="C45" s="43" t="str">
        <f>IF(ISNUMBER(Fixture!D44),Fixture!D44&amp;"-"&amp;Fixture!E44,"")</f>
        <v/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spans="1:33" ht="19.5" customHeight="1" x14ac:dyDescent="0.25">
      <c r="A46" s="12">
        <v>41</v>
      </c>
      <c r="B46" s="11" t="str">
        <f>Fixture!C45&amp;" vs "&amp;Fixture!F45</f>
        <v>Egipto vs Irán</v>
      </c>
      <c r="C46" s="43" t="str">
        <f>IF(ISNUMBER(Fixture!D45),Fixture!D45&amp;"-"&amp;Fixture!E45,"")</f>
        <v/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9.5" customHeight="1" x14ac:dyDescent="0.25">
      <c r="A47" s="15">
        <v>42</v>
      </c>
      <c r="B47" s="14" t="str">
        <f>Fixture!C46&amp;" vs "&amp;Fixture!F46</f>
        <v>Nueva Zelanda vs Bélgica</v>
      </c>
      <c r="C47" s="43" t="str">
        <f>IF(ISNUMBER(Fixture!D46),Fixture!D46&amp;"-"&amp;Fixture!E46,"")</f>
        <v/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ht="19.5" customHeight="1" x14ac:dyDescent="0.25">
      <c r="A48" s="12">
        <v>43</v>
      </c>
      <c r="B48" s="11" t="str">
        <f>Fixture!C47&amp;" vs "&amp;Fixture!F47</f>
        <v>España vs Cabo Verde</v>
      </c>
      <c r="C48" s="43" t="str">
        <f>IF(ISNUMBER(Fixture!D47),Fixture!D47&amp;"-"&amp;Fixture!E47,"")</f>
        <v/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9.5" customHeight="1" x14ac:dyDescent="0.25">
      <c r="A49" s="15">
        <v>44</v>
      </c>
      <c r="B49" s="14" t="str">
        <f>Fixture!C48&amp;" vs "&amp;Fixture!F48</f>
        <v>Arabia Saudita vs Uruguay</v>
      </c>
      <c r="C49" s="43" t="str">
        <f>IF(ISNUMBER(Fixture!D48),Fixture!D48&amp;"-"&amp;Fixture!E48,"")</f>
        <v/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spans="1:33" ht="19.5" customHeight="1" x14ac:dyDescent="0.25">
      <c r="A50" s="12">
        <v>45</v>
      </c>
      <c r="B50" s="11" t="str">
        <f>Fixture!C49&amp;" vs "&amp;Fixture!F49</f>
        <v>España vs Arabia Saudita</v>
      </c>
      <c r="C50" s="43" t="str">
        <f>IF(ISNUMBER(Fixture!D49),Fixture!D49&amp;"-"&amp;Fixture!E49,"")</f>
        <v/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9.5" customHeight="1" x14ac:dyDescent="0.25">
      <c r="A51" s="15">
        <v>46</v>
      </c>
      <c r="B51" s="14" t="str">
        <f>Fixture!C50&amp;" vs "&amp;Fixture!F50</f>
        <v>Uruguay vs Cabo Verde</v>
      </c>
      <c r="C51" s="43" t="str">
        <f>IF(ISNUMBER(Fixture!D50),Fixture!D50&amp;"-"&amp;Fixture!E50,"")</f>
        <v/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ht="19.5" customHeight="1" x14ac:dyDescent="0.25">
      <c r="A52" s="12">
        <v>47</v>
      </c>
      <c r="B52" s="11" t="str">
        <f>Fixture!C51&amp;" vs "&amp;Fixture!F51</f>
        <v>Cabo Verde vs Arabia Saudita</v>
      </c>
      <c r="C52" s="43" t="str">
        <f>IF(ISNUMBER(Fixture!D51),Fixture!D51&amp;"-"&amp;Fixture!E51,"")</f>
        <v/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9.5" customHeight="1" x14ac:dyDescent="0.25">
      <c r="A53" s="15">
        <v>48</v>
      </c>
      <c r="B53" s="14" t="str">
        <f>Fixture!C52&amp;" vs "&amp;Fixture!F52</f>
        <v>Uruguay vs España</v>
      </c>
      <c r="C53" s="43" t="str">
        <f>IF(ISNUMBER(Fixture!D52),Fixture!D52&amp;"-"&amp;Fixture!E52,"")</f>
        <v/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spans="1:33" ht="19.5" customHeight="1" x14ac:dyDescent="0.25">
      <c r="A54" s="12">
        <v>49</v>
      </c>
      <c r="B54" s="11" t="str">
        <f>Fixture!C53&amp;" vs "&amp;Fixture!F53</f>
        <v>Francia vs Senegal</v>
      </c>
      <c r="C54" s="43" t="str">
        <f>IF(ISNUMBER(Fixture!D53),Fixture!D53&amp;"-"&amp;Fixture!E53,"")</f>
        <v/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9.5" customHeight="1" x14ac:dyDescent="0.25">
      <c r="A55" s="15">
        <v>50</v>
      </c>
      <c r="B55" s="14" t="str">
        <f>Fixture!C54&amp;" vs "&amp;Fixture!F54</f>
        <v>Irak vs Noruega</v>
      </c>
      <c r="C55" s="43" t="str">
        <f>IF(ISNUMBER(Fixture!D54),Fixture!D54&amp;"-"&amp;Fixture!E54,"")</f>
        <v/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1:33" ht="19.5" customHeight="1" x14ac:dyDescent="0.25">
      <c r="A56" s="12">
        <v>51</v>
      </c>
      <c r="B56" s="11" t="str">
        <f>Fixture!C55&amp;" vs "&amp;Fixture!F55</f>
        <v>Francia vs Irak</v>
      </c>
      <c r="C56" s="43" t="str">
        <f>IF(ISNUMBER(Fixture!D55),Fixture!D55&amp;"-"&amp;Fixture!E55,"")</f>
        <v/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9.5" customHeight="1" x14ac:dyDescent="0.25">
      <c r="A57" s="15">
        <v>52</v>
      </c>
      <c r="B57" s="14" t="str">
        <f>Fixture!C56&amp;" vs "&amp;Fixture!F56</f>
        <v>Noruega vs Senegal</v>
      </c>
      <c r="C57" s="43" t="str">
        <f>IF(ISNUMBER(Fixture!D56),Fixture!D56&amp;"-"&amp;Fixture!E56,"")</f>
        <v/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ht="19.5" customHeight="1" x14ac:dyDescent="0.25">
      <c r="A58" s="12">
        <v>53</v>
      </c>
      <c r="B58" s="11" t="str">
        <f>Fixture!C57&amp;" vs "&amp;Fixture!F57</f>
        <v>Noruega vs Francia</v>
      </c>
      <c r="C58" s="43" t="str">
        <f>IF(ISNUMBER(Fixture!D57),Fixture!D57&amp;"-"&amp;Fixture!E57,"")</f>
        <v/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9.5" customHeight="1" x14ac:dyDescent="0.25">
      <c r="A59" s="15">
        <v>54</v>
      </c>
      <c r="B59" s="14" t="str">
        <f>Fixture!C58&amp;" vs "&amp;Fixture!F58</f>
        <v>Senegal vs Irak</v>
      </c>
      <c r="C59" s="43" t="str">
        <f>IF(ISNUMBER(Fixture!D58),Fixture!D58&amp;"-"&amp;Fixture!E58,"")</f>
        <v/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1:33" ht="19.5" customHeight="1" x14ac:dyDescent="0.25">
      <c r="A60" s="12">
        <v>55</v>
      </c>
      <c r="B60" s="11" t="str">
        <f>Fixture!C59&amp;" vs "&amp;Fixture!F59</f>
        <v>Argentina vs Argelia</v>
      </c>
      <c r="C60" s="43" t="str">
        <f>IF(ISNUMBER(Fixture!D59),Fixture!D59&amp;"-"&amp;Fixture!E59,"")</f>
        <v/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9.5" customHeight="1" x14ac:dyDescent="0.25">
      <c r="A61" s="15">
        <v>56</v>
      </c>
      <c r="B61" s="14" t="str">
        <f>Fixture!C60&amp;" vs "&amp;Fixture!F60</f>
        <v>Austria vs Jordania</v>
      </c>
      <c r="C61" s="43" t="str">
        <f>IF(ISNUMBER(Fixture!D60),Fixture!D60&amp;"-"&amp;Fixture!E60,"")</f>
        <v/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ht="19.5" customHeight="1" x14ac:dyDescent="0.25">
      <c r="A62" s="12">
        <v>57</v>
      </c>
      <c r="B62" s="11" t="str">
        <f>Fixture!C61&amp;" vs "&amp;Fixture!F61</f>
        <v>Argentina vs Austria</v>
      </c>
      <c r="C62" s="43" t="str">
        <f>IF(ISNUMBER(Fixture!D61),Fixture!D61&amp;"-"&amp;Fixture!E61,"")</f>
        <v/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9.5" customHeight="1" x14ac:dyDescent="0.25">
      <c r="A63" s="15">
        <v>58</v>
      </c>
      <c r="B63" s="14" t="str">
        <f>Fixture!C62&amp;" vs "&amp;Fixture!F62</f>
        <v>Jordania vs Argelia</v>
      </c>
      <c r="C63" s="43" t="str">
        <f>IF(ISNUMBER(Fixture!D62),Fixture!D62&amp;"-"&amp;Fixture!E62,"")</f>
        <v/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spans="1:33" ht="19.5" customHeight="1" x14ac:dyDescent="0.25">
      <c r="A64" s="12">
        <v>59</v>
      </c>
      <c r="B64" s="11" t="str">
        <f>Fixture!C63&amp;" vs "&amp;Fixture!F63</f>
        <v>Argelia vs Austria</v>
      </c>
      <c r="C64" s="43" t="str">
        <f>IF(ISNUMBER(Fixture!D63),Fixture!D63&amp;"-"&amp;Fixture!E63,"")</f>
        <v/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9.5" customHeight="1" x14ac:dyDescent="0.25">
      <c r="A65" s="15">
        <v>60</v>
      </c>
      <c r="B65" s="14" t="str">
        <f>Fixture!C64&amp;" vs "&amp;Fixture!F64</f>
        <v>Jordania vs Argentina</v>
      </c>
      <c r="C65" s="43" t="str">
        <f>IF(ISNUMBER(Fixture!D64),Fixture!D64&amp;"-"&amp;Fixture!E64,"")</f>
        <v/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spans="1:33" ht="19.5" customHeight="1" x14ac:dyDescent="0.25">
      <c r="A66" s="12">
        <v>61</v>
      </c>
      <c r="B66" s="11" t="str">
        <f>Fixture!C65&amp;" vs "&amp;Fixture!F65</f>
        <v>Portugal vs Rep. D. Congo</v>
      </c>
      <c r="C66" s="43" t="str">
        <f>IF(ISNUMBER(Fixture!D65),Fixture!D65&amp;"-"&amp;Fixture!E65,"")</f>
        <v/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9.5" customHeight="1" x14ac:dyDescent="0.25">
      <c r="A67" s="15">
        <v>62</v>
      </c>
      <c r="B67" s="14" t="str">
        <f>Fixture!C66&amp;" vs "&amp;Fixture!F66</f>
        <v>Uzbekistán vs Colombia</v>
      </c>
      <c r="C67" s="43" t="str">
        <f>IF(ISNUMBER(Fixture!D66),Fixture!D66&amp;"-"&amp;Fixture!E66,"")</f>
        <v/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spans="1:33" ht="19.5" customHeight="1" x14ac:dyDescent="0.25">
      <c r="A68" s="12">
        <v>63</v>
      </c>
      <c r="B68" s="11" t="str">
        <f>Fixture!C67&amp;" vs "&amp;Fixture!F67</f>
        <v>Portugal vs Uzbekistán</v>
      </c>
      <c r="C68" s="43" t="str">
        <f>IF(ISNUMBER(Fixture!D67),Fixture!D67&amp;"-"&amp;Fixture!E67,"")</f>
        <v/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9.5" customHeight="1" x14ac:dyDescent="0.25">
      <c r="A69" s="15">
        <v>64</v>
      </c>
      <c r="B69" s="14" t="str">
        <f>Fixture!C68&amp;" vs "&amp;Fixture!F68</f>
        <v>Colombia vs Rep. D. Congo</v>
      </c>
      <c r="C69" s="43" t="str">
        <f>IF(ISNUMBER(Fixture!D68),Fixture!D68&amp;"-"&amp;Fixture!E68,"")</f>
        <v/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spans="1:33" ht="19.5" customHeight="1" x14ac:dyDescent="0.25">
      <c r="A70" s="12">
        <v>65</v>
      </c>
      <c r="B70" s="11" t="str">
        <f>Fixture!C69&amp;" vs "&amp;Fixture!F69</f>
        <v>Colombia vs Portugal</v>
      </c>
      <c r="C70" s="43" t="str">
        <f>IF(ISNUMBER(Fixture!D69),Fixture!D69&amp;"-"&amp;Fixture!E69,"")</f>
        <v/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9.5" customHeight="1" x14ac:dyDescent="0.25">
      <c r="A71" s="15">
        <v>66</v>
      </c>
      <c r="B71" s="14" t="str">
        <f>Fixture!C70&amp;" vs "&amp;Fixture!F70</f>
        <v>Rep. D. Congo vs Uzbekistán</v>
      </c>
      <c r="C71" s="43" t="str">
        <f>IF(ISNUMBER(Fixture!D70),Fixture!D70&amp;"-"&amp;Fixture!E70,"")</f>
        <v/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spans="1:33" ht="19.5" customHeight="1" x14ac:dyDescent="0.25">
      <c r="A72" s="12">
        <v>67</v>
      </c>
      <c r="B72" s="11" t="str">
        <f>Fixture!C71&amp;" vs "&amp;Fixture!F71</f>
        <v>Inglaterra vs Croacia</v>
      </c>
      <c r="C72" s="43" t="str">
        <f>IF(ISNUMBER(Fixture!D71),Fixture!D71&amp;"-"&amp;Fixture!E71,"")</f>
        <v/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9.5" customHeight="1" x14ac:dyDescent="0.25">
      <c r="A73" s="15">
        <v>68</v>
      </c>
      <c r="B73" s="14" t="str">
        <f>Fixture!C72&amp;" vs "&amp;Fixture!F72</f>
        <v>Ghana vs Panamá</v>
      </c>
      <c r="C73" s="43" t="str">
        <f>IF(ISNUMBER(Fixture!D72),Fixture!D72&amp;"-"&amp;Fixture!E72,"")</f>
        <v/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spans="1:33" ht="19.5" customHeight="1" x14ac:dyDescent="0.25">
      <c r="A74" s="12">
        <v>69</v>
      </c>
      <c r="B74" s="11" t="str">
        <f>Fixture!C73&amp;" vs "&amp;Fixture!F73</f>
        <v>Inglaterra vs Ghana</v>
      </c>
      <c r="C74" s="43" t="str">
        <f>IF(ISNUMBER(Fixture!D73),Fixture!D73&amp;"-"&amp;Fixture!E73,"")</f>
        <v/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9.5" customHeight="1" x14ac:dyDescent="0.25">
      <c r="A75" s="15">
        <v>70</v>
      </c>
      <c r="B75" s="14" t="str">
        <f>Fixture!C74&amp;" vs "&amp;Fixture!F74</f>
        <v>Panamá vs Croacia</v>
      </c>
      <c r="C75" s="43" t="str">
        <f>IF(ISNUMBER(Fixture!D74),Fixture!D74&amp;"-"&amp;Fixture!E74,"")</f>
        <v/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spans="1:33" ht="19.5" customHeight="1" x14ac:dyDescent="0.25">
      <c r="A76" s="12">
        <v>71</v>
      </c>
      <c r="B76" s="11" t="str">
        <f>Fixture!C75&amp;" vs "&amp;Fixture!F75</f>
        <v>Inglaterra vs Panamá</v>
      </c>
      <c r="C76" s="43" t="str">
        <f>IF(ISNUMBER(Fixture!D75),Fixture!D75&amp;"-"&amp;Fixture!E75,"")</f>
        <v/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9.5" customHeight="1" x14ac:dyDescent="0.25">
      <c r="A77" s="15">
        <v>72</v>
      </c>
      <c r="B77" s="14" t="str">
        <f>Fixture!C76&amp;" vs "&amp;Fixture!F76</f>
        <v>Croacia vs Ghana</v>
      </c>
      <c r="C77" s="43" t="str">
        <f>IF(ISNUMBER(Fixture!D76),Fixture!D76&amp;"-"&amp;Fixture!E76,"")</f>
        <v/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</sheetData>
  <mergeCells count="17">
    <mergeCell ref="A1:AG1"/>
    <mergeCell ref="A2:AG2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Participantes</vt:lpstr>
      <vt:lpstr>Fixture</vt:lpstr>
      <vt:lpstr>Predicciones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andres jesus lindarte niño</cp:lastModifiedBy>
  <cp:revision>0</cp:revision>
  <dcterms:created xsi:type="dcterms:W3CDTF">2026-06-10T18:47:03Z</dcterms:created>
  <dcterms:modified xsi:type="dcterms:W3CDTF">2026-06-14T16:22:56Z</dcterms:modified>
  <dc:language>en-US</dc:language>
</cp:coreProperties>
</file>