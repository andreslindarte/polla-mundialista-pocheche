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web poll\"/>
    </mc:Choice>
  </mc:AlternateContent>
  <xr:revisionPtr revIDLastSave="0" documentId="8_{C0FAF212-65C0-4AF0-991E-89549AED1D7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<sst xmlns="http://schemas.openxmlformats.org/spreadsheetml/2006/main" count="354" uniqueCount="112">
  <si>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</si>
  <si>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</si>
  <si>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</si>
  <si>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</si>
  <si>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</si>
  <si>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</si>
  <si>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12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</si>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</sst>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2" fillId="4" borderId="2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tabSelected="1" zoomScaleNormal="100" workbookViewId="0">
      <selection activeCell="I16" sqref="I16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" t="s">
        <v>0</v>
      </c>
      <c r="B1" s="4"/>
      <c r="C1" s="4"/>
      <c r="D1" s="4"/>
    </row>
    <row r="2" spans="1:4" ht="19.5" customHeight="1" x14ac:dyDescent="0.25">
      <c r="A2" s="3" t="s">
        <v>1</v>
      </c>
      <c r="B2" s="3"/>
      <c r="C2" s="3"/>
      <c r="D2" s="3"/>
    </row>
    <row r="3" spans="1:4" ht="6" customHeight="1" x14ac:dyDescent="0.25"/>
    <row r="4" spans="1:4" ht="25.5" customHeight="1" x14ac:dyDescent="0.25">
      <c r="A4" s="5" t="s">
        <v>2</v>
      </c>
      <c r="B4" s="5" t="s">
        <v>3</v>
      </c>
      <c r="C4" s="5" t="s">
        <v>4</v>
      </c>
      <c r="D4" s="5" t="s">
        <v>5</v>
      </c>
    </row>
    <row r="5" spans="1:4" ht="21.75" customHeight="1" x14ac:dyDescent="0.25">
      <c r="A5" s="6">
        <v>1</v>
      </c>
      <c r="B5" s="7" t="s">
        <v>101</v>
      </c>
      <c r="C5" s="8">
        <v>0</v>
      </c>
      <c r="D5" s="9">
        <f>RANK(C5,C5:C19,0)</f>
        <v>1</v>
      </c>
    </row>
    <row r="6" spans="1:4" ht="21.75" customHeight="1" x14ac:dyDescent="0.25">
      <c r="A6" s="10">
        <v>2</v>
      </c>
      <c r="B6" s="11" t="s">
        <v>102</v>
      </c>
      <c r="C6" s="12">
        <v>0</v>
      </c>
      <c r="D6" s="13">
        <f>RANK(C6,C5:C19,0)</f>
        <v>1</v>
      </c>
    </row>
    <row r="7" spans="1:4" ht="21.75" customHeight="1" x14ac:dyDescent="0.25">
      <c r="A7" s="6">
        <v>3</v>
      </c>
      <c r="B7" s="7" t="s">
        <v>103</v>
      </c>
      <c r="C7" s="8">
        <v>0</v>
      </c>
      <c r="D7" s="9">
        <f>RANK(C7,C5:C19,0)</f>
        <v>1</v>
      </c>
    </row>
    <row r="8" spans="1:4" ht="21.75" customHeight="1" x14ac:dyDescent="0.25">
      <c r="A8" s="10">
        <v>4</v>
      </c>
      <c r="B8" s="11" t="s">
        <v>104</v>
      </c>
      <c r="C8" s="12">
        <v>0</v>
      </c>
      <c r="D8" s="13">
        <f>RANK(C8,C5:C19,0)</f>
        <v>1</v>
      </c>
    </row>
    <row r="9" spans="1:4" ht="21.75" customHeight="1" x14ac:dyDescent="0.25">
      <c r="A9" s="6">
        <v>5</v>
      </c>
      <c r="B9" s="7" t="s">
        <v>105</v>
      </c>
      <c r="C9" s="8">
        <v>0</v>
      </c>
      <c r="D9" s="9">
        <f>RANK(C9,C5:C19,0)</f>
        <v>1</v>
      </c>
    </row>
    <row r="10" spans="1:4" ht="21.75" customHeight="1" x14ac:dyDescent="0.25">
      <c r="A10" s="10">
        <v>6</v>
      </c>
      <c r="B10" s="11" t="s">
        <v>106</v>
      </c>
      <c r="C10" s="12">
        <v>0</v>
      </c>
      <c r="D10" s="13">
        <f>RANK(C10,C5:C19,0)</f>
        <v>1</v>
      </c>
    </row>
    <row r="11" spans="1:4" ht="21.75" customHeight="1" x14ac:dyDescent="0.25">
      <c r="A11" s="6">
        <v>7</v>
      </c>
      <c r="B11" s="7" t="s">
        <v>107</v>
      </c>
      <c r="C11" s="8">
        <v>0</v>
      </c>
      <c r="D11" s="9">
        <f>RANK(C11,C5:C19,0)</f>
        <v>1</v>
      </c>
    </row>
    <row r="12" spans="1:4" ht="21.75" customHeight="1" x14ac:dyDescent="0.25">
      <c r="A12" s="10">
        <v>8</v>
      </c>
      <c r="B12" s="11" t="s">
        <v>108</v>
      </c>
      <c r="C12" s="12">
        <v>0</v>
      </c>
      <c r="D12" s="13">
        <f>RANK(C12,C5:C19,0)</f>
        <v>1</v>
      </c>
    </row>
    <row r="13" spans="1:4" ht="21.75" customHeight="1" x14ac:dyDescent="0.25">
      <c r="A13" s="6">
        <v>9</v>
      </c>
      <c r="B13" s="7" t="s">
        <v>109</v>
      </c>
      <c r="C13" s="8">
        <v>0</v>
      </c>
      <c r="D13" s="9">
        <f>RANK(C13,C5:C19,0)</f>
        <v>1</v>
      </c>
    </row>
    <row r="14" spans="1:4" ht="21.75" customHeight="1" x14ac:dyDescent="0.25">
      <c r="A14" s="10">
        <v>10</v>
      </c>
      <c r="B14" s="11" t="s">
        <v>110</v>
      </c>
      <c r="C14" s="12">
        <v>0</v>
      </c>
      <c r="D14" s="13">
        <f>RANK(C14,C5:C19,0)</f>
        <v>1</v>
      </c>
    </row>
    <row r="15" spans="1:4" ht="21.75" customHeight="1" x14ac:dyDescent="0.25">
      <c r="A15" s="6">
        <v>11</v>
      </c>
      <c r="B15" s="7" t="s">
        <v>111</v>
      </c>
      <c r="C15" s="8">
        <v>0</v>
      </c>
      <c r="D15" s="9">
        <f>RANK(C15,C5:C19,0)</f>
        <v>1</v>
      </c>
    </row>
    <row r="16" spans="1:4" ht="21.75" customHeight="1" x14ac:dyDescent="0.25">
      <c r="A16" s="10">
        <v>12</v>
      </c>
      <c r="B16" s="11" t="s">
        <v>6</v>
      </c>
      <c r="C16" s="12">
        <v>0</v>
      </c>
      <c r="D16" s="13">
        <f>RANK(C16,C5:C19,0)</f>
        <v>1</v>
      </c>
    </row>
    <row r="17" spans="1:4" ht="21.75" customHeight="1" x14ac:dyDescent="0.25">
      <c r="A17" s="6">
        <v>13</v>
      </c>
      <c r="B17" s="7" t="s">
        <v>7</v>
      </c>
      <c r="C17" s="8">
        <v>0</v>
      </c>
      <c r="D17" s="9">
        <f>RANK(C17,C5:C19,0)</f>
        <v>1</v>
      </c>
    </row>
    <row r="18" spans="1:4" ht="21.75" customHeight="1" x14ac:dyDescent="0.25">
      <c r="A18" s="10">
        <v>14</v>
      </c>
      <c r="B18" s="11" t="s">
        <v>8</v>
      </c>
      <c r="C18" s="12">
        <v>0</v>
      </c>
      <c r="D18" s="13">
        <f>RANK(C18,C5:C19,0)</f>
        <v>1</v>
      </c>
    </row>
    <row r="19" spans="1:4" ht="21.75" customHeight="1" x14ac:dyDescent="0.25">
      <c r="A19" s="6">
        <v>15</v>
      </c>
      <c r="B19" s="7" t="s">
        <v>9</v>
      </c>
      <c r="C19" s="8">
        <v>0</v>
      </c>
      <c r="D19" s="9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6"/>
  <sheetViews>
    <sheetView showGridLines="0" zoomScaleNormal="100" workbookViewId="0">
      <selection activeCell="L12" sqref="L12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2" t="s">
        <v>10</v>
      </c>
      <c r="B1" s="2"/>
      <c r="C1" s="2"/>
      <c r="D1" s="2"/>
      <c r="E1" s="2"/>
      <c r="F1" s="2"/>
      <c r="G1" s="2"/>
    </row>
    <row r="2" spans="1:7" ht="18" customHeight="1" x14ac:dyDescent="0.25">
      <c r="A2" s="3" t="s">
        <v>11</v>
      </c>
      <c r="B2" s="3"/>
      <c r="C2" s="3"/>
      <c r="D2" s="3"/>
      <c r="E2" s="3"/>
      <c r="F2" s="3"/>
      <c r="G2" s="3"/>
    </row>
    <row r="3" spans="1:7" ht="6" customHeight="1" x14ac:dyDescent="0.25"/>
    <row r="4" spans="1:7" ht="27.75" customHeight="1" x14ac:dyDescent="0.25">
      <c r="A4" s="14" t="s">
        <v>2</v>
      </c>
      <c r="B4" s="14" t="s">
        <v>12</v>
      </c>
      <c r="C4" s="14" t="s">
        <v>13</v>
      </c>
      <c r="D4" s="14" t="s">
        <v>14</v>
      </c>
      <c r="E4" s="14" t="s">
        <v>15</v>
      </c>
      <c r="F4" s="14" t="s">
        <v>16</v>
      </c>
      <c r="G4" s="14" t="s">
        <v>17</v>
      </c>
    </row>
    <row r="5" spans="1:7" ht="19.5" customHeight="1" x14ac:dyDescent="0.25">
      <c r="A5" s="15">
        <v>1</v>
      </c>
      <c r="B5" s="16" t="s">
        <v>18</v>
      </c>
      <c r="C5" s="15" t="s">
        <v>19</v>
      </c>
      <c r="D5" s="17"/>
      <c r="E5" s="17"/>
      <c r="F5" s="15" t="s">
        <v>20</v>
      </c>
      <c r="G5" s="15" t="s">
        <v>21</v>
      </c>
    </row>
    <row r="6" spans="1:7" ht="19.5" customHeight="1" x14ac:dyDescent="0.25">
      <c r="A6" s="18">
        <v>2</v>
      </c>
      <c r="B6" s="19" t="s">
        <v>18</v>
      </c>
      <c r="C6" s="18" t="s">
        <v>22</v>
      </c>
      <c r="D6" s="17"/>
      <c r="E6" s="17"/>
      <c r="F6" s="18" t="s">
        <v>23</v>
      </c>
      <c r="G6" s="18" t="s">
        <v>21</v>
      </c>
    </row>
    <row r="7" spans="1:7" ht="19.5" customHeight="1" x14ac:dyDescent="0.25">
      <c r="A7" s="15">
        <v>3</v>
      </c>
      <c r="B7" s="16" t="s">
        <v>18</v>
      </c>
      <c r="C7" s="15" t="s">
        <v>23</v>
      </c>
      <c r="D7" s="17"/>
      <c r="E7" s="17"/>
      <c r="F7" s="15" t="s">
        <v>20</v>
      </c>
      <c r="G7" s="15" t="s">
        <v>24</v>
      </c>
    </row>
    <row r="8" spans="1:7" ht="19.5" customHeight="1" x14ac:dyDescent="0.25">
      <c r="A8" s="18">
        <v>4</v>
      </c>
      <c r="B8" s="19" t="s">
        <v>18</v>
      </c>
      <c r="C8" s="18" t="s">
        <v>19</v>
      </c>
      <c r="D8" s="17"/>
      <c r="E8" s="17"/>
      <c r="F8" s="18" t="s">
        <v>22</v>
      </c>
      <c r="G8" s="18" t="s">
        <v>24</v>
      </c>
    </row>
    <row r="9" spans="1:7" ht="19.5" customHeight="1" x14ac:dyDescent="0.25">
      <c r="A9" s="15">
        <v>5</v>
      </c>
      <c r="B9" s="16" t="s">
        <v>18</v>
      </c>
      <c r="C9" s="15" t="s">
        <v>23</v>
      </c>
      <c r="D9" s="17"/>
      <c r="E9" s="17"/>
      <c r="F9" s="15" t="s">
        <v>19</v>
      </c>
      <c r="G9" s="15" t="s">
        <v>25</v>
      </c>
    </row>
    <row r="10" spans="1:7" ht="19.5" customHeight="1" x14ac:dyDescent="0.25">
      <c r="A10" s="18">
        <v>6</v>
      </c>
      <c r="B10" s="19" t="s">
        <v>18</v>
      </c>
      <c r="C10" s="18" t="s">
        <v>20</v>
      </c>
      <c r="D10" s="17"/>
      <c r="E10" s="17"/>
      <c r="F10" s="18" t="s">
        <v>22</v>
      </c>
      <c r="G10" s="18" t="s">
        <v>25</v>
      </c>
    </row>
    <row r="11" spans="1:7" ht="19.5" customHeight="1" x14ac:dyDescent="0.25">
      <c r="A11" s="15">
        <v>7</v>
      </c>
      <c r="B11" s="20" t="s">
        <v>26</v>
      </c>
      <c r="C11" s="15" t="s">
        <v>27</v>
      </c>
      <c r="D11" s="17"/>
      <c r="E11" s="17"/>
      <c r="F11" s="15" t="s">
        <v>28</v>
      </c>
      <c r="G11" s="15" t="s">
        <v>29</v>
      </c>
    </row>
    <row r="12" spans="1:7" ht="19.5" customHeight="1" x14ac:dyDescent="0.25">
      <c r="A12" s="18">
        <v>8</v>
      </c>
      <c r="B12" s="21" t="s">
        <v>26</v>
      </c>
      <c r="C12" s="18" t="s">
        <v>30</v>
      </c>
      <c r="D12" s="17"/>
      <c r="E12" s="17"/>
      <c r="F12" s="18" t="s">
        <v>31</v>
      </c>
      <c r="G12" s="18" t="s">
        <v>32</v>
      </c>
    </row>
    <row r="13" spans="1:7" ht="19.5" customHeight="1" x14ac:dyDescent="0.25">
      <c r="A13" s="15">
        <v>9</v>
      </c>
      <c r="B13" s="20" t="s">
        <v>26</v>
      </c>
      <c r="C13" s="15" t="s">
        <v>31</v>
      </c>
      <c r="D13" s="17"/>
      <c r="E13" s="17"/>
      <c r="F13" s="15" t="s">
        <v>28</v>
      </c>
      <c r="G13" s="15" t="s">
        <v>24</v>
      </c>
    </row>
    <row r="14" spans="1:7" ht="19.5" customHeight="1" x14ac:dyDescent="0.25">
      <c r="A14" s="18">
        <v>10</v>
      </c>
      <c r="B14" s="21" t="s">
        <v>26</v>
      </c>
      <c r="C14" s="18" t="s">
        <v>27</v>
      </c>
      <c r="D14" s="17"/>
      <c r="E14" s="17"/>
      <c r="F14" s="18" t="s">
        <v>30</v>
      </c>
      <c r="G14" s="18" t="s">
        <v>24</v>
      </c>
    </row>
    <row r="15" spans="1:7" ht="19.5" customHeight="1" x14ac:dyDescent="0.25">
      <c r="A15" s="15">
        <v>11</v>
      </c>
      <c r="B15" s="20" t="s">
        <v>26</v>
      </c>
      <c r="C15" s="15" t="s">
        <v>31</v>
      </c>
      <c r="D15" s="17"/>
      <c r="E15" s="17"/>
      <c r="F15" s="15" t="s">
        <v>27</v>
      </c>
      <c r="G15" s="15" t="s">
        <v>25</v>
      </c>
    </row>
    <row r="16" spans="1:7" ht="19.5" customHeight="1" x14ac:dyDescent="0.25">
      <c r="A16" s="18">
        <v>12</v>
      </c>
      <c r="B16" s="21" t="s">
        <v>26</v>
      </c>
      <c r="C16" s="18" t="s">
        <v>28</v>
      </c>
      <c r="D16" s="17"/>
      <c r="E16" s="17"/>
      <c r="F16" s="18" t="s">
        <v>30</v>
      </c>
      <c r="G16" s="18" t="s">
        <v>25</v>
      </c>
    </row>
    <row r="17" spans="1:7" ht="19.5" customHeight="1" x14ac:dyDescent="0.25">
      <c r="A17" s="15">
        <v>13</v>
      </c>
      <c r="B17" s="22" t="s">
        <v>33</v>
      </c>
      <c r="C17" s="15" t="s">
        <v>34</v>
      </c>
      <c r="D17" s="17"/>
      <c r="E17" s="17"/>
      <c r="F17" s="15" t="s">
        <v>35</v>
      </c>
      <c r="G17" s="15" t="s">
        <v>32</v>
      </c>
    </row>
    <row r="18" spans="1:7" ht="19.5" customHeight="1" x14ac:dyDescent="0.25">
      <c r="A18" s="18">
        <v>14</v>
      </c>
      <c r="B18" s="23" t="s">
        <v>33</v>
      </c>
      <c r="C18" s="18" t="s">
        <v>36</v>
      </c>
      <c r="D18" s="17"/>
      <c r="E18" s="17"/>
      <c r="F18" s="18" t="s">
        <v>37</v>
      </c>
      <c r="G18" s="18" t="s">
        <v>32</v>
      </c>
    </row>
    <row r="19" spans="1:7" ht="19.5" customHeight="1" x14ac:dyDescent="0.25">
      <c r="A19" s="15">
        <v>15</v>
      </c>
      <c r="B19" s="22" t="s">
        <v>33</v>
      </c>
      <c r="C19" s="15" t="s">
        <v>37</v>
      </c>
      <c r="D19" s="17"/>
      <c r="E19" s="17"/>
      <c r="F19" s="15" t="s">
        <v>35</v>
      </c>
      <c r="G19" s="15" t="s">
        <v>38</v>
      </c>
    </row>
    <row r="20" spans="1:7" ht="19.5" customHeight="1" x14ac:dyDescent="0.25">
      <c r="A20" s="18">
        <v>16</v>
      </c>
      <c r="B20" s="23" t="s">
        <v>33</v>
      </c>
      <c r="C20" s="18" t="s">
        <v>34</v>
      </c>
      <c r="D20" s="17"/>
      <c r="E20" s="17"/>
      <c r="F20" s="18" t="s">
        <v>36</v>
      </c>
      <c r="G20" s="18" t="s">
        <v>38</v>
      </c>
    </row>
    <row r="21" spans="1:7" ht="19.5" customHeight="1" x14ac:dyDescent="0.25">
      <c r="A21" s="15">
        <v>17</v>
      </c>
      <c r="B21" s="22" t="s">
        <v>33</v>
      </c>
      <c r="C21" s="15" t="s">
        <v>37</v>
      </c>
      <c r="D21" s="17"/>
      <c r="E21" s="17"/>
      <c r="F21" s="15" t="s">
        <v>34</v>
      </c>
      <c r="G21" s="15" t="s">
        <v>25</v>
      </c>
    </row>
    <row r="22" spans="1:7" ht="19.5" customHeight="1" x14ac:dyDescent="0.25">
      <c r="A22" s="18">
        <v>18</v>
      </c>
      <c r="B22" s="23" t="s">
        <v>33</v>
      </c>
      <c r="C22" s="18" t="s">
        <v>35</v>
      </c>
      <c r="D22" s="17"/>
      <c r="E22" s="17"/>
      <c r="F22" s="18" t="s">
        <v>36</v>
      </c>
      <c r="G22" s="18" t="s">
        <v>25</v>
      </c>
    </row>
    <row r="23" spans="1:7" ht="19.5" customHeight="1" x14ac:dyDescent="0.25">
      <c r="A23" s="15">
        <v>19</v>
      </c>
      <c r="B23" s="24" t="s">
        <v>39</v>
      </c>
      <c r="C23" s="15" t="s">
        <v>40</v>
      </c>
      <c r="D23" s="17"/>
      <c r="E23" s="17"/>
      <c r="F23" s="15" t="s">
        <v>41</v>
      </c>
      <c r="G23" s="15" t="s">
        <v>29</v>
      </c>
    </row>
    <row r="24" spans="1:7" ht="19.5" customHeight="1" x14ac:dyDescent="0.25">
      <c r="A24" s="18">
        <v>20</v>
      </c>
      <c r="B24" s="25" t="s">
        <v>39</v>
      </c>
      <c r="C24" s="18" t="s">
        <v>42</v>
      </c>
      <c r="D24" s="17"/>
      <c r="E24" s="17"/>
      <c r="F24" s="18" t="s">
        <v>43</v>
      </c>
      <c r="G24" s="18" t="s">
        <v>32</v>
      </c>
    </row>
    <row r="25" spans="1:7" ht="19.5" customHeight="1" x14ac:dyDescent="0.25">
      <c r="A25" s="15">
        <v>21</v>
      </c>
      <c r="B25" s="24" t="s">
        <v>39</v>
      </c>
      <c r="C25" s="15" t="s">
        <v>40</v>
      </c>
      <c r="D25" s="17"/>
      <c r="E25" s="17"/>
      <c r="F25" s="15" t="s">
        <v>42</v>
      </c>
      <c r="G25" s="15" t="s">
        <v>38</v>
      </c>
    </row>
    <row r="26" spans="1:7" ht="19.5" customHeight="1" x14ac:dyDescent="0.25">
      <c r="A26" s="18">
        <v>22</v>
      </c>
      <c r="B26" s="25" t="s">
        <v>39</v>
      </c>
      <c r="C26" s="18" t="s">
        <v>43</v>
      </c>
      <c r="D26" s="17"/>
      <c r="E26" s="17"/>
      <c r="F26" s="18" t="s">
        <v>41</v>
      </c>
      <c r="G26" s="18" t="s">
        <v>38</v>
      </c>
    </row>
    <row r="27" spans="1:7" ht="19.5" customHeight="1" x14ac:dyDescent="0.25">
      <c r="A27" s="15">
        <v>23</v>
      </c>
      <c r="B27" s="24" t="s">
        <v>39</v>
      </c>
      <c r="C27" s="15" t="s">
        <v>43</v>
      </c>
      <c r="D27" s="17"/>
      <c r="E27" s="17"/>
      <c r="F27" s="15" t="s">
        <v>40</v>
      </c>
      <c r="G27" s="15" t="s">
        <v>44</v>
      </c>
    </row>
    <row r="28" spans="1:7" ht="19.5" customHeight="1" x14ac:dyDescent="0.25">
      <c r="A28" s="18">
        <v>24</v>
      </c>
      <c r="B28" s="25" t="s">
        <v>39</v>
      </c>
      <c r="C28" s="18" t="s">
        <v>41</v>
      </c>
      <c r="D28" s="17"/>
      <c r="E28" s="17"/>
      <c r="F28" s="18" t="s">
        <v>42</v>
      </c>
      <c r="G28" s="18" t="s">
        <v>44</v>
      </c>
    </row>
    <row r="29" spans="1:7" ht="19.5" customHeight="1" x14ac:dyDescent="0.25">
      <c r="A29" s="15">
        <v>25</v>
      </c>
      <c r="B29" s="26" t="s">
        <v>45</v>
      </c>
      <c r="C29" s="15" t="s">
        <v>46</v>
      </c>
      <c r="D29" s="17"/>
      <c r="E29" s="17"/>
      <c r="F29" s="15" t="s">
        <v>47</v>
      </c>
      <c r="G29" s="15" t="s">
        <v>48</v>
      </c>
    </row>
    <row r="30" spans="1:7" ht="19.5" customHeight="1" x14ac:dyDescent="0.25">
      <c r="A30" s="18">
        <v>26</v>
      </c>
      <c r="B30" s="27" t="s">
        <v>45</v>
      </c>
      <c r="C30" s="18" t="s">
        <v>49</v>
      </c>
      <c r="D30" s="17"/>
      <c r="E30" s="17"/>
      <c r="F30" s="18" t="s">
        <v>50</v>
      </c>
      <c r="G30" s="18" t="s">
        <v>48</v>
      </c>
    </row>
    <row r="31" spans="1:7" ht="19.5" customHeight="1" x14ac:dyDescent="0.25">
      <c r="A31" s="15">
        <v>27</v>
      </c>
      <c r="B31" s="26" t="s">
        <v>45</v>
      </c>
      <c r="C31" s="15" t="s">
        <v>46</v>
      </c>
      <c r="D31" s="17"/>
      <c r="E31" s="17"/>
      <c r="F31" s="15" t="s">
        <v>49</v>
      </c>
      <c r="G31" s="15" t="s">
        <v>51</v>
      </c>
    </row>
    <row r="32" spans="1:7" ht="19.5" customHeight="1" x14ac:dyDescent="0.25">
      <c r="A32" s="18">
        <v>28</v>
      </c>
      <c r="B32" s="27" t="s">
        <v>45</v>
      </c>
      <c r="C32" s="18" t="s">
        <v>50</v>
      </c>
      <c r="D32" s="17"/>
      <c r="E32" s="17"/>
      <c r="F32" s="18" t="s">
        <v>47</v>
      </c>
      <c r="G32" s="18" t="s">
        <v>51</v>
      </c>
    </row>
    <row r="33" spans="1:7" ht="19.5" customHeight="1" x14ac:dyDescent="0.25">
      <c r="A33" s="15">
        <v>29</v>
      </c>
      <c r="B33" s="26" t="s">
        <v>45</v>
      </c>
      <c r="C33" s="15" t="s">
        <v>50</v>
      </c>
      <c r="D33" s="17"/>
      <c r="E33" s="17"/>
      <c r="F33" s="15" t="s">
        <v>46</v>
      </c>
      <c r="G33" s="15" t="s">
        <v>44</v>
      </c>
    </row>
    <row r="34" spans="1:7" ht="19.5" customHeight="1" x14ac:dyDescent="0.25">
      <c r="A34" s="18">
        <v>30</v>
      </c>
      <c r="B34" s="27" t="s">
        <v>45</v>
      </c>
      <c r="C34" s="18" t="s">
        <v>47</v>
      </c>
      <c r="D34" s="17"/>
      <c r="E34" s="17"/>
      <c r="F34" s="18" t="s">
        <v>49</v>
      </c>
      <c r="G34" s="18" t="s">
        <v>44</v>
      </c>
    </row>
    <row r="35" spans="1:7" ht="19.5" customHeight="1" x14ac:dyDescent="0.25">
      <c r="A35" s="15">
        <v>31</v>
      </c>
      <c r="B35" s="28" t="s">
        <v>52</v>
      </c>
      <c r="C35" s="15" t="s">
        <v>53</v>
      </c>
      <c r="D35" s="17"/>
      <c r="E35" s="17"/>
      <c r="F35" s="15" t="s">
        <v>54</v>
      </c>
      <c r="G35" s="15" t="s">
        <v>48</v>
      </c>
    </row>
    <row r="36" spans="1:7" ht="19.5" customHeight="1" x14ac:dyDescent="0.25">
      <c r="A36" s="18">
        <v>32</v>
      </c>
      <c r="B36" s="29" t="s">
        <v>52</v>
      </c>
      <c r="C36" s="18" t="s">
        <v>55</v>
      </c>
      <c r="D36" s="17"/>
      <c r="E36" s="17"/>
      <c r="F36" s="18" t="s">
        <v>56</v>
      </c>
      <c r="G36" s="18" t="s">
        <v>48</v>
      </c>
    </row>
    <row r="37" spans="1:7" ht="19.5" customHeight="1" x14ac:dyDescent="0.25">
      <c r="A37" s="15">
        <v>33</v>
      </c>
      <c r="B37" s="28" t="s">
        <v>52</v>
      </c>
      <c r="C37" s="15" t="s">
        <v>53</v>
      </c>
      <c r="D37" s="17"/>
      <c r="E37" s="17"/>
      <c r="F37" s="15" t="s">
        <v>55</v>
      </c>
      <c r="G37" s="15" t="s">
        <v>51</v>
      </c>
    </row>
    <row r="38" spans="1:7" ht="19.5" customHeight="1" x14ac:dyDescent="0.25">
      <c r="A38" s="18">
        <v>34</v>
      </c>
      <c r="B38" s="29" t="s">
        <v>52</v>
      </c>
      <c r="C38" s="18" t="s">
        <v>56</v>
      </c>
      <c r="D38" s="17"/>
      <c r="E38" s="17"/>
      <c r="F38" s="18" t="s">
        <v>54</v>
      </c>
      <c r="G38" s="18" t="s">
        <v>51</v>
      </c>
    </row>
    <row r="39" spans="1:7" ht="19.5" customHeight="1" x14ac:dyDescent="0.25">
      <c r="A39" s="15">
        <v>35</v>
      </c>
      <c r="B39" s="28" t="s">
        <v>52</v>
      </c>
      <c r="C39" s="15" t="s">
        <v>54</v>
      </c>
      <c r="D39" s="17"/>
      <c r="E39" s="17"/>
      <c r="F39" s="15" t="s">
        <v>55</v>
      </c>
      <c r="G39" s="15" t="s">
        <v>44</v>
      </c>
    </row>
    <row r="40" spans="1:7" ht="19.5" customHeight="1" x14ac:dyDescent="0.25">
      <c r="A40" s="18">
        <v>36</v>
      </c>
      <c r="B40" s="29" t="s">
        <v>52</v>
      </c>
      <c r="C40" s="18" t="s">
        <v>56</v>
      </c>
      <c r="D40" s="17"/>
      <c r="E40" s="17"/>
      <c r="F40" s="18" t="s">
        <v>53</v>
      </c>
      <c r="G40" s="18" t="s">
        <v>44</v>
      </c>
    </row>
    <row r="41" spans="1:7" ht="19.5" customHeight="1" x14ac:dyDescent="0.25">
      <c r="A41" s="15">
        <v>37</v>
      </c>
      <c r="B41" s="30" t="s">
        <v>57</v>
      </c>
      <c r="C41" s="15" t="s">
        <v>58</v>
      </c>
      <c r="D41" s="17"/>
      <c r="E41" s="17"/>
      <c r="F41" s="15" t="s">
        <v>59</v>
      </c>
      <c r="G41" s="15" t="s">
        <v>60</v>
      </c>
    </row>
    <row r="42" spans="1:7" ht="19.5" customHeight="1" x14ac:dyDescent="0.25">
      <c r="A42" s="18">
        <v>38</v>
      </c>
      <c r="B42" s="31" t="s">
        <v>57</v>
      </c>
      <c r="C42" s="18" t="s">
        <v>61</v>
      </c>
      <c r="D42" s="17"/>
      <c r="E42" s="17"/>
      <c r="F42" s="18" t="s">
        <v>62</v>
      </c>
      <c r="G42" s="18" t="s">
        <v>60</v>
      </c>
    </row>
    <row r="43" spans="1:7" ht="19.5" customHeight="1" x14ac:dyDescent="0.25">
      <c r="A43" s="15">
        <v>39</v>
      </c>
      <c r="B43" s="30" t="s">
        <v>57</v>
      </c>
      <c r="C43" s="15" t="s">
        <v>58</v>
      </c>
      <c r="D43" s="17"/>
      <c r="E43" s="17"/>
      <c r="F43" s="15" t="s">
        <v>61</v>
      </c>
      <c r="G43" s="15" t="s">
        <v>63</v>
      </c>
    </row>
    <row r="44" spans="1:7" ht="19.5" customHeight="1" x14ac:dyDescent="0.25">
      <c r="A44" s="18">
        <v>40</v>
      </c>
      <c r="B44" s="31" t="s">
        <v>57</v>
      </c>
      <c r="C44" s="18" t="s">
        <v>62</v>
      </c>
      <c r="D44" s="17"/>
      <c r="E44" s="17"/>
      <c r="F44" s="18" t="s">
        <v>59</v>
      </c>
      <c r="G44" s="18" t="s">
        <v>63</v>
      </c>
    </row>
    <row r="45" spans="1:7" ht="19.5" customHeight="1" x14ac:dyDescent="0.25">
      <c r="A45" s="15">
        <v>41</v>
      </c>
      <c r="B45" s="30" t="s">
        <v>57</v>
      </c>
      <c r="C45" s="15" t="s">
        <v>59</v>
      </c>
      <c r="D45" s="17"/>
      <c r="E45" s="17"/>
      <c r="F45" s="15" t="s">
        <v>61</v>
      </c>
      <c r="G45" s="15" t="s">
        <v>64</v>
      </c>
    </row>
    <row r="46" spans="1:7" ht="19.5" customHeight="1" x14ac:dyDescent="0.25">
      <c r="A46" s="18">
        <v>42</v>
      </c>
      <c r="B46" s="31" t="s">
        <v>57</v>
      </c>
      <c r="C46" s="18" t="s">
        <v>62</v>
      </c>
      <c r="D46" s="17"/>
      <c r="E46" s="17"/>
      <c r="F46" s="18" t="s">
        <v>58</v>
      </c>
      <c r="G46" s="18" t="s">
        <v>64</v>
      </c>
    </row>
    <row r="47" spans="1:7" ht="19.5" customHeight="1" x14ac:dyDescent="0.25">
      <c r="A47" s="15">
        <v>43</v>
      </c>
      <c r="B47" s="32" t="s">
        <v>65</v>
      </c>
      <c r="C47" s="15" t="s">
        <v>66</v>
      </c>
      <c r="D47" s="17"/>
      <c r="E47" s="17"/>
      <c r="F47" s="15" t="s">
        <v>67</v>
      </c>
      <c r="G47" s="15" t="s">
        <v>60</v>
      </c>
    </row>
    <row r="48" spans="1:7" ht="19.5" customHeight="1" x14ac:dyDescent="0.25">
      <c r="A48" s="18">
        <v>44</v>
      </c>
      <c r="B48" s="33" t="s">
        <v>65</v>
      </c>
      <c r="C48" s="18" t="s">
        <v>68</v>
      </c>
      <c r="D48" s="17"/>
      <c r="E48" s="17"/>
      <c r="F48" s="18" t="s">
        <v>69</v>
      </c>
      <c r="G48" s="18" t="s">
        <v>60</v>
      </c>
    </row>
    <row r="49" spans="1:7" ht="19.5" customHeight="1" x14ac:dyDescent="0.25">
      <c r="A49" s="15">
        <v>45</v>
      </c>
      <c r="B49" s="32" t="s">
        <v>65</v>
      </c>
      <c r="C49" s="15" t="s">
        <v>66</v>
      </c>
      <c r="D49" s="17"/>
      <c r="E49" s="17"/>
      <c r="F49" s="15" t="s">
        <v>68</v>
      </c>
      <c r="G49" s="15" t="s">
        <v>63</v>
      </c>
    </row>
    <row r="50" spans="1:7" ht="19.5" customHeight="1" x14ac:dyDescent="0.25">
      <c r="A50" s="18">
        <v>46</v>
      </c>
      <c r="B50" s="33" t="s">
        <v>65</v>
      </c>
      <c r="C50" s="18" t="s">
        <v>69</v>
      </c>
      <c r="D50" s="17"/>
      <c r="E50" s="17"/>
      <c r="F50" s="18" t="s">
        <v>67</v>
      </c>
      <c r="G50" s="18" t="s">
        <v>63</v>
      </c>
    </row>
    <row r="51" spans="1:7" ht="19.5" customHeight="1" x14ac:dyDescent="0.25">
      <c r="A51" s="15">
        <v>47</v>
      </c>
      <c r="B51" s="32" t="s">
        <v>65</v>
      </c>
      <c r="C51" s="15" t="s">
        <v>67</v>
      </c>
      <c r="D51" s="17"/>
      <c r="E51" s="17"/>
      <c r="F51" s="15" t="s">
        <v>68</v>
      </c>
      <c r="G51" s="15" t="s">
        <v>64</v>
      </c>
    </row>
    <row r="52" spans="1:7" ht="19.5" customHeight="1" x14ac:dyDescent="0.25">
      <c r="A52" s="18">
        <v>48</v>
      </c>
      <c r="B52" s="33" t="s">
        <v>65</v>
      </c>
      <c r="C52" s="18" t="s">
        <v>69</v>
      </c>
      <c r="D52" s="17"/>
      <c r="E52" s="17"/>
      <c r="F52" s="18" t="s">
        <v>66</v>
      </c>
      <c r="G52" s="18" t="s">
        <v>64</v>
      </c>
    </row>
    <row r="53" spans="1:7" ht="19.5" customHeight="1" x14ac:dyDescent="0.25">
      <c r="A53" s="15">
        <v>49</v>
      </c>
      <c r="B53" s="34" t="s">
        <v>70</v>
      </c>
      <c r="C53" s="15" t="s">
        <v>71</v>
      </c>
      <c r="D53" s="17"/>
      <c r="E53" s="17"/>
      <c r="F53" s="15" t="s">
        <v>72</v>
      </c>
      <c r="G53" s="15" t="s">
        <v>73</v>
      </c>
    </row>
    <row r="54" spans="1:7" ht="19.5" customHeight="1" x14ac:dyDescent="0.25">
      <c r="A54" s="18">
        <v>50</v>
      </c>
      <c r="B54" s="35" t="s">
        <v>70</v>
      </c>
      <c r="C54" s="18" t="s">
        <v>74</v>
      </c>
      <c r="D54" s="17"/>
      <c r="E54" s="17"/>
      <c r="F54" s="18" t="s">
        <v>75</v>
      </c>
      <c r="G54" s="18" t="s">
        <v>73</v>
      </c>
    </row>
    <row r="55" spans="1:7" ht="19.5" customHeight="1" x14ac:dyDescent="0.25">
      <c r="A55" s="15">
        <v>51</v>
      </c>
      <c r="B55" s="34" t="s">
        <v>70</v>
      </c>
      <c r="C55" s="15" t="s">
        <v>71</v>
      </c>
      <c r="D55" s="17"/>
      <c r="E55" s="17"/>
      <c r="F55" s="15" t="s">
        <v>74</v>
      </c>
      <c r="G55" s="15" t="s">
        <v>76</v>
      </c>
    </row>
    <row r="56" spans="1:7" ht="19.5" customHeight="1" x14ac:dyDescent="0.25">
      <c r="A56" s="18">
        <v>52</v>
      </c>
      <c r="B56" s="35" t="s">
        <v>70</v>
      </c>
      <c r="C56" s="18" t="s">
        <v>75</v>
      </c>
      <c r="D56" s="17"/>
      <c r="E56" s="17"/>
      <c r="F56" s="18" t="s">
        <v>72</v>
      </c>
      <c r="G56" s="18" t="s">
        <v>76</v>
      </c>
    </row>
    <row r="57" spans="1:7" ht="19.5" customHeight="1" x14ac:dyDescent="0.25">
      <c r="A57" s="15">
        <v>53</v>
      </c>
      <c r="B57" s="34" t="s">
        <v>70</v>
      </c>
      <c r="C57" s="15" t="s">
        <v>75</v>
      </c>
      <c r="D57" s="17"/>
      <c r="E57" s="17"/>
      <c r="F57" s="15" t="s">
        <v>71</v>
      </c>
      <c r="G57" s="15" t="s">
        <v>64</v>
      </c>
    </row>
    <row r="58" spans="1:7" ht="19.5" customHeight="1" x14ac:dyDescent="0.25">
      <c r="A58" s="18">
        <v>54</v>
      </c>
      <c r="B58" s="35" t="s">
        <v>70</v>
      </c>
      <c r="C58" s="18" t="s">
        <v>72</v>
      </c>
      <c r="D58" s="17"/>
      <c r="E58" s="17"/>
      <c r="F58" s="18" t="s">
        <v>74</v>
      </c>
      <c r="G58" s="18" t="s">
        <v>64</v>
      </c>
    </row>
    <row r="59" spans="1:7" ht="19.5" customHeight="1" x14ac:dyDescent="0.25">
      <c r="A59" s="15">
        <v>55</v>
      </c>
      <c r="B59" s="36" t="s">
        <v>77</v>
      </c>
      <c r="C59" s="15" t="s">
        <v>78</v>
      </c>
      <c r="D59" s="17"/>
      <c r="E59" s="17"/>
      <c r="F59" s="15" t="s">
        <v>79</v>
      </c>
      <c r="G59" s="15" t="s">
        <v>73</v>
      </c>
    </row>
    <row r="60" spans="1:7" ht="19.5" customHeight="1" x14ac:dyDescent="0.25">
      <c r="A60" s="18">
        <v>56</v>
      </c>
      <c r="B60" s="37" t="s">
        <v>77</v>
      </c>
      <c r="C60" s="18" t="s">
        <v>80</v>
      </c>
      <c r="D60" s="17"/>
      <c r="E60" s="17"/>
      <c r="F60" s="18" t="s">
        <v>81</v>
      </c>
      <c r="G60" s="18" t="s">
        <v>73</v>
      </c>
    </row>
    <row r="61" spans="1:7" ht="19.5" customHeight="1" x14ac:dyDescent="0.25">
      <c r="A61" s="15">
        <v>57</v>
      </c>
      <c r="B61" s="36" t="s">
        <v>77</v>
      </c>
      <c r="C61" s="15" t="s">
        <v>78</v>
      </c>
      <c r="D61" s="17"/>
      <c r="E61" s="17"/>
      <c r="F61" s="15" t="s">
        <v>80</v>
      </c>
      <c r="G61" s="15" t="s">
        <v>76</v>
      </c>
    </row>
    <row r="62" spans="1:7" ht="19.5" customHeight="1" x14ac:dyDescent="0.25">
      <c r="A62" s="18">
        <v>58</v>
      </c>
      <c r="B62" s="37" t="s">
        <v>77</v>
      </c>
      <c r="C62" s="18" t="s">
        <v>81</v>
      </c>
      <c r="D62" s="17"/>
      <c r="E62" s="17"/>
      <c r="F62" s="18" t="s">
        <v>79</v>
      </c>
      <c r="G62" s="18" t="s">
        <v>76</v>
      </c>
    </row>
    <row r="63" spans="1:7" ht="19.5" customHeight="1" x14ac:dyDescent="0.25">
      <c r="A63" s="15">
        <v>59</v>
      </c>
      <c r="B63" s="36" t="s">
        <v>77</v>
      </c>
      <c r="C63" s="15" t="s">
        <v>79</v>
      </c>
      <c r="D63" s="17"/>
      <c r="E63" s="17"/>
      <c r="F63" s="15" t="s">
        <v>80</v>
      </c>
      <c r="G63" s="15" t="s">
        <v>82</v>
      </c>
    </row>
    <row r="64" spans="1:7" ht="19.5" customHeight="1" x14ac:dyDescent="0.25">
      <c r="A64" s="18">
        <v>60</v>
      </c>
      <c r="B64" s="37" t="s">
        <v>77</v>
      </c>
      <c r="C64" s="18" t="s">
        <v>81</v>
      </c>
      <c r="D64" s="17"/>
      <c r="E64" s="17"/>
      <c r="F64" s="18" t="s">
        <v>78</v>
      </c>
      <c r="G64" s="18" t="s">
        <v>82</v>
      </c>
    </row>
    <row r="65" spans="1:7" ht="19.5" customHeight="1" x14ac:dyDescent="0.25">
      <c r="A65" s="15">
        <v>61</v>
      </c>
      <c r="B65" s="38" t="s">
        <v>83</v>
      </c>
      <c r="C65" s="15" t="s">
        <v>84</v>
      </c>
      <c r="D65" s="17"/>
      <c r="E65" s="17"/>
      <c r="F65" s="15" t="s">
        <v>85</v>
      </c>
      <c r="G65" s="15" t="s">
        <v>86</v>
      </c>
    </row>
    <row r="66" spans="1:7" ht="19.5" customHeight="1" x14ac:dyDescent="0.25">
      <c r="A66" s="18">
        <v>62</v>
      </c>
      <c r="B66" s="39" t="s">
        <v>83</v>
      </c>
      <c r="C66" s="18" t="s">
        <v>87</v>
      </c>
      <c r="D66" s="17"/>
      <c r="E66" s="17"/>
      <c r="F66" s="18" t="s">
        <v>88</v>
      </c>
      <c r="G66" s="18" t="s">
        <v>86</v>
      </c>
    </row>
    <row r="67" spans="1:7" ht="19.5" customHeight="1" x14ac:dyDescent="0.25">
      <c r="A67" s="15">
        <v>63</v>
      </c>
      <c r="B67" s="38" t="s">
        <v>83</v>
      </c>
      <c r="C67" s="15" t="s">
        <v>84</v>
      </c>
      <c r="D67" s="17"/>
      <c r="E67" s="17"/>
      <c r="F67" s="15" t="s">
        <v>87</v>
      </c>
      <c r="G67" s="15" t="s">
        <v>89</v>
      </c>
    </row>
    <row r="68" spans="1:7" ht="19.5" customHeight="1" x14ac:dyDescent="0.25">
      <c r="A68" s="18">
        <v>64</v>
      </c>
      <c r="B68" s="39" t="s">
        <v>83</v>
      </c>
      <c r="C68" s="18" t="s">
        <v>88</v>
      </c>
      <c r="D68" s="17"/>
      <c r="E68" s="17"/>
      <c r="F68" s="18" t="s">
        <v>85</v>
      </c>
      <c r="G68" s="18" t="s">
        <v>89</v>
      </c>
    </row>
    <row r="69" spans="1:7" ht="19.5" customHeight="1" x14ac:dyDescent="0.25">
      <c r="A69" s="15">
        <v>65</v>
      </c>
      <c r="B69" s="38" t="s">
        <v>83</v>
      </c>
      <c r="C69" s="15" t="s">
        <v>88</v>
      </c>
      <c r="D69" s="17"/>
      <c r="E69" s="17"/>
      <c r="F69" s="15" t="s">
        <v>84</v>
      </c>
      <c r="G69" s="15" t="s">
        <v>82</v>
      </c>
    </row>
    <row r="70" spans="1:7" ht="19.5" customHeight="1" x14ac:dyDescent="0.25">
      <c r="A70" s="18">
        <v>66</v>
      </c>
      <c r="B70" s="39" t="s">
        <v>83</v>
      </c>
      <c r="C70" s="18" t="s">
        <v>85</v>
      </c>
      <c r="D70" s="17"/>
      <c r="E70" s="17"/>
      <c r="F70" s="18" t="s">
        <v>87</v>
      </c>
      <c r="G70" s="18" t="s">
        <v>82</v>
      </c>
    </row>
    <row r="71" spans="1:7" ht="19.5" customHeight="1" x14ac:dyDescent="0.25">
      <c r="A71" s="15">
        <v>67</v>
      </c>
      <c r="B71" s="40" t="s">
        <v>90</v>
      </c>
      <c r="C71" s="15" t="s">
        <v>91</v>
      </c>
      <c r="D71" s="17"/>
      <c r="E71" s="17"/>
      <c r="F71" s="15" t="s">
        <v>92</v>
      </c>
      <c r="G71" s="15" t="s">
        <v>86</v>
      </c>
    </row>
    <row r="72" spans="1:7" ht="19.5" customHeight="1" x14ac:dyDescent="0.25">
      <c r="A72" s="18">
        <v>68</v>
      </c>
      <c r="B72" s="41" t="s">
        <v>90</v>
      </c>
      <c r="C72" s="18" t="s">
        <v>93</v>
      </c>
      <c r="D72" s="17"/>
      <c r="E72" s="17"/>
      <c r="F72" s="18" t="s">
        <v>94</v>
      </c>
      <c r="G72" s="18" t="s">
        <v>86</v>
      </c>
    </row>
    <row r="73" spans="1:7" ht="19.5" customHeight="1" x14ac:dyDescent="0.25">
      <c r="A73" s="15">
        <v>69</v>
      </c>
      <c r="B73" s="40" t="s">
        <v>90</v>
      </c>
      <c r="C73" s="15" t="s">
        <v>91</v>
      </c>
      <c r="D73" s="17"/>
      <c r="E73" s="17"/>
      <c r="F73" s="15" t="s">
        <v>93</v>
      </c>
      <c r="G73" s="15" t="s">
        <v>89</v>
      </c>
    </row>
    <row r="74" spans="1:7" ht="19.5" customHeight="1" x14ac:dyDescent="0.25">
      <c r="A74" s="18">
        <v>70</v>
      </c>
      <c r="B74" s="41" t="s">
        <v>90</v>
      </c>
      <c r="C74" s="18" t="s">
        <v>94</v>
      </c>
      <c r="D74" s="17"/>
      <c r="E74" s="17"/>
      <c r="F74" s="18" t="s">
        <v>92</v>
      </c>
      <c r="G74" s="18" t="s">
        <v>89</v>
      </c>
    </row>
    <row r="75" spans="1:7" ht="19.5" customHeight="1" x14ac:dyDescent="0.25">
      <c r="A75" s="15">
        <v>71</v>
      </c>
      <c r="B75" s="40" t="s">
        <v>90</v>
      </c>
      <c r="C75" s="15" t="s">
        <v>91</v>
      </c>
      <c r="D75" s="17"/>
      <c r="E75" s="17"/>
      <c r="F75" s="15" t="s">
        <v>94</v>
      </c>
      <c r="G75" s="15" t="s">
        <v>82</v>
      </c>
    </row>
    <row r="76" spans="1:7" ht="19.5" customHeight="1" x14ac:dyDescent="0.25">
      <c r="A76" s="18">
        <v>72</v>
      </c>
      <c r="B76" s="41" t="s">
        <v>90</v>
      </c>
      <c r="C76" s="18" t="s">
        <v>92</v>
      </c>
      <c r="D76" s="17"/>
      <c r="E76" s="17"/>
      <c r="F76" s="18" t="s">
        <v>93</v>
      </c>
      <c r="G76" s="18" t="s">
        <v>82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zoomScaleNormal="100" workbookViewId="0">
      <selection activeCell="AF5" sqref="AF5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2" t="s">
        <v>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spans="1:33" ht="18" customHeight="1" x14ac:dyDescent="0.25">
      <c r="A2" s="3" t="s">
        <v>96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ht="6" customHeight="1" x14ac:dyDescent="0.25"/>
    <row r="4" spans="1:33" ht="30" customHeight="1" x14ac:dyDescent="0.25">
      <c r="A4" s="42" t="s">
        <v>2</v>
      </c>
      <c r="B4" s="42" t="s">
        <v>97</v>
      </c>
      <c r="C4" s="43" t="s">
        <v>98</v>
      </c>
      <c r="D4" s="1" t="str">
        <f>Participantes!B5</f>
        <v>Andres Jesús</v>
      </c>
      <c r="E4" s="1"/>
      <c r="F4" s="1" t="str">
        <f>Participantes!B6</f>
        <v>Leonardo Fabio</v>
      </c>
      <c r="G4" s="1"/>
      <c r="H4" s="1" t="str">
        <f>Participantes!B7</f>
        <v>Martha Cenidia</v>
      </c>
      <c r="I4" s="1"/>
      <c r="J4" s="1" t="str">
        <f>Participantes!B8</f>
        <v>Freddy Ramón</v>
      </c>
      <c r="K4" s="1"/>
      <c r="L4" s="1" t="str">
        <f>Participantes!B9</f>
        <v xml:space="preserve">Juan Camilo </v>
      </c>
      <c r="M4" s="1"/>
      <c r="N4" s="1" t="str">
        <f>Participantes!B10</f>
        <v xml:space="preserve">Juan David </v>
      </c>
      <c r="O4" s="1"/>
      <c r="P4" s="1" t="str">
        <f>Participantes!B11</f>
        <v>María Trinidad</v>
      </c>
      <c r="Q4" s="1"/>
      <c r="R4" s="1" t="str">
        <f>Participantes!B12</f>
        <v xml:space="preserve">María Gabriela </v>
      </c>
      <c r="S4" s="1"/>
      <c r="T4" s="1" t="str">
        <f>Participantes!B13</f>
        <v>Laura Valentina</v>
      </c>
      <c r="U4" s="1"/>
      <c r="V4" s="1" t="str">
        <f>Participantes!B14</f>
        <v>Gloria Isabel</v>
      </c>
      <c r="W4" s="1"/>
      <c r="X4" s="1" t="str">
        <f>Participantes!B15</f>
        <v xml:space="preserve">María del Pilar </v>
      </c>
      <c r="Y4" s="1"/>
      <c r="Z4" s="1" t="str">
        <f>Participantes!B16</f>
        <v>Participante 12</v>
      </c>
      <c r="AA4" s="1"/>
      <c r="AB4" s="1" t="str">
        <f>Participantes!B17</f>
        <v>Participante 13</v>
      </c>
      <c r="AC4" s="1"/>
      <c r="AD4" s="1" t="str">
        <f>Participantes!B18</f>
        <v>Participante 14</v>
      </c>
      <c r="AE4" s="1"/>
      <c r="AF4" s="1" t="str">
        <f>Participantes!B19</f>
        <v>Participante 15</v>
      </c>
      <c r="AG4" s="1"/>
    </row>
    <row r="5" spans="1:33" ht="15.75" customHeight="1" x14ac:dyDescent="0.25">
      <c r="A5" s="44"/>
      <c r="B5" s="44"/>
      <c r="C5" s="45" t="s">
        <v>99</v>
      </c>
      <c r="D5" s="46" t="s">
        <v>90</v>
      </c>
      <c r="E5" s="46" t="s">
        <v>100</v>
      </c>
      <c r="F5" s="46" t="s">
        <v>90</v>
      </c>
      <c r="G5" s="46" t="s">
        <v>100</v>
      </c>
      <c r="H5" s="46" t="s">
        <v>90</v>
      </c>
      <c r="I5" s="46" t="s">
        <v>100</v>
      </c>
      <c r="J5" s="46" t="s">
        <v>90</v>
      </c>
      <c r="K5" s="46" t="s">
        <v>100</v>
      </c>
      <c r="L5" s="46" t="s">
        <v>90</v>
      </c>
      <c r="M5" s="46" t="s">
        <v>100</v>
      </c>
      <c r="N5" s="46" t="s">
        <v>90</v>
      </c>
      <c r="O5" s="46" t="s">
        <v>100</v>
      </c>
      <c r="P5" s="46" t="s">
        <v>90</v>
      </c>
      <c r="Q5" s="46" t="s">
        <v>100</v>
      </c>
      <c r="R5" s="46" t="s">
        <v>90</v>
      </c>
      <c r="S5" s="46" t="s">
        <v>100</v>
      </c>
      <c r="T5" s="46" t="s">
        <v>90</v>
      </c>
      <c r="U5" s="46" t="s">
        <v>100</v>
      </c>
      <c r="V5" s="46" t="s">
        <v>90</v>
      </c>
      <c r="W5" s="46" t="s">
        <v>100</v>
      </c>
      <c r="X5" s="46" t="s">
        <v>90</v>
      </c>
      <c r="Y5" s="46" t="s">
        <v>100</v>
      </c>
      <c r="Z5" s="46" t="s">
        <v>90</v>
      </c>
      <c r="AA5" s="46" t="s">
        <v>100</v>
      </c>
      <c r="AB5" s="46" t="s">
        <v>90</v>
      </c>
      <c r="AC5" s="46" t="s">
        <v>100</v>
      </c>
      <c r="AD5" s="46" t="s">
        <v>90</v>
      </c>
      <c r="AE5" s="46" t="s">
        <v>100</v>
      </c>
      <c r="AF5" s="46" t="s">
        <v>90</v>
      </c>
      <c r="AG5" s="46" t="s">
        <v>100</v>
      </c>
    </row>
    <row r="6" spans="1:33" ht="19.5" customHeight="1" x14ac:dyDescent="0.25">
      <c r="A6" s="16">
        <v>1</v>
      </c>
      <c r="B6" s="15" t="str">
        <f>Fixture!C5&amp;" vs "&amp;Fixture!F5</f>
        <v>México vs Sudáfrica</v>
      </c>
      <c r="C6" s="47" t="str">
        <f>IF(ISNUMBER(Fixture!D5),Fixture!D5&amp;"-"&amp;Fixture!E5,"")</f>
        <v/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33" ht="19.5" customHeight="1" x14ac:dyDescent="0.25">
      <c r="A7" s="19">
        <v>2</v>
      </c>
      <c r="B7" s="18" t="str">
        <f>Fixture!C6&amp;" vs "&amp;Fixture!F6</f>
        <v>Corea del Sur vs Chequia</v>
      </c>
      <c r="C7" s="47" t="str">
        <f>IF(ISNUMBER(Fixture!D6),Fixture!D6&amp;"-"&amp;Fixture!E6,"")</f>
        <v/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 spans="1:33" ht="19.5" customHeight="1" x14ac:dyDescent="0.25">
      <c r="A8" s="16">
        <v>3</v>
      </c>
      <c r="B8" s="15" t="str">
        <f>Fixture!C7&amp;" vs "&amp;Fixture!F7</f>
        <v>Chequia vs Sudáfrica</v>
      </c>
      <c r="C8" s="47" t="str">
        <f>IF(ISNUMBER(Fixture!D7),Fixture!D7&amp;"-"&amp;Fixture!E7,"")</f>
        <v/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</row>
    <row r="9" spans="1:33" ht="19.5" customHeight="1" x14ac:dyDescent="0.25">
      <c r="A9" s="19">
        <v>4</v>
      </c>
      <c r="B9" s="18" t="str">
        <f>Fixture!C8&amp;" vs "&amp;Fixture!F8</f>
        <v>México vs Corea del Sur</v>
      </c>
      <c r="C9" s="47" t="str">
        <f>IF(ISNUMBER(Fixture!D8),Fixture!D8&amp;"-"&amp;Fixture!E8,"")</f>
        <v/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</row>
    <row r="10" spans="1:33" ht="19.5" customHeight="1" x14ac:dyDescent="0.25">
      <c r="A10" s="16">
        <v>5</v>
      </c>
      <c r="B10" s="15" t="str">
        <f>Fixture!C9&amp;" vs "&amp;Fixture!F9</f>
        <v>Chequia vs México</v>
      </c>
      <c r="C10" s="47" t="str">
        <f>IF(ISNUMBER(Fixture!D9),Fixture!D9&amp;"-"&amp;Fixture!E9,"")</f>
        <v/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 spans="1:33" ht="19.5" customHeight="1" x14ac:dyDescent="0.25">
      <c r="A11" s="19">
        <v>6</v>
      </c>
      <c r="B11" s="18" t="str">
        <f>Fixture!C10&amp;" vs "&amp;Fixture!F10</f>
        <v>Sudáfrica vs Corea del Sur</v>
      </c>
      <c r="C11" s="47" t="str">
        <f>IF(ISNUMBER(Fixture!D10),Fixture!D10&amp;"-"&amp;Fixture!E10,"")</f>
        <v/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</row>
    <row r="12" spans="1:33" ht="19.5" customHeight="1" x14ac:dyDescent="0.25">
      <c r="A12" s="16">
        <v>7</v>
      </c>
      <c r="B12" s="15" t="str">
        <f>Fixture!C11&amp;" vs "&amp;Fixture!F11</f>
        <v>Canadá vs Bosnia-Herzegovina</v>
      </c>
      <c r="C12" s="47" t="str">
        <f>IF(ISNUMBER(Fixture!D11),Fixture!D11&amp;"-"&amp;Fixture!E11,"")</f>
        <v/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spans="1:33" ht="19.5" customHeight="1" x14ac:dyDescent="0.25">
      <c r="A13" s="19">
        <v>8</v>
      </c>
      <c r="B13" s="18" t="str">
        <f>Fixture!C12&amp;" vs "&amp;Fixture!F12</f>
        <v>Qatar vs Suiza</v>
      </c>
      <c r="C13" s="47" t="str">
        <f>IF(ISNUMBER(Fixture!D12),Fixture!D12&amp;"-"&amp;Fixture!E12,"")</f>
        <v/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</row>
    <row r="14" spans="1:33" ht="19.5" customHeight="1" x14ac:dyDescent="0.25">
      <c r="A14" s="16">
        <v>9</v>
      </c>
      <c r="B14" s="15" t="str">
        <f>Fixture!C13&amp;" vs "&amp;Fixture!F13</f>
        <v>Suiza vs Bosnia-Herzegovina</v>
      </c>
      <c r="C14" s="47" t="str">
        <f>IF(ISNUMBER(Fixture!D13),Fixture!D13&amp;"-"&amp;Fixture!E13,"")</f>
        <v/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33" ht="19.5" customHeight="1" x14ac:dyDescent="0.25">
      <c r="A15" s="19">
        <v>10</v>
      </c>
      <c r="B15" s="18" t="str">
        <f>Fixture!C14&amp;" vs "&amp;Fixture!F14</f>
        <v>Canadá vs Qatar</v>
      </c>
      <c r="C15" s="47" t="str">
        <f>IF(ISNUMBER(Fixture!D14),Fixture!D14&amp;"-"&amp;Fixture!E14,"")</f>
        <v/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</row>
    <row r="16" spans="1:33" ht="19.5" customHeight="1" x14ac:dyDescent="0.25">
      <c r="A16" s="16">
        <v>11</v>
      </c>
      <c r="B16" s="15" t="str">
        <f>Fixture!C15&amp;" vs "&amp;Fixture!F15</f>
        <v>Suiza vs Canadá</v>
      </c>
      <c r="C16" s="47" t="str">
        <f>IF(ISNUMBER(Fixture!D15),Fixture!D15&amp;"-"&amp;Fixture!E15,"")</f>
        <v/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</row>
    <row r="17" spans="1:33" ht="19.5" customHeight="1" x14ac:dyDescent="0.25">
      <c r="A17" s="19">
        <v>12</v>
      </c>
      <c r="B17" s="18" t="str">
        <f>Fixture!C16&amp;" vs "&amp;Fixture!F16</f>
        <v>Bosnia-Herzegovina vs Qatar</v>
      </c>
      <c r="C17" s="47" t="str">
        <f>IF(ISNUMBER(Fixture!D16),Fixture!D16&amp;"-"&amp;Fixture!E16,"")</f>
        <v/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</row>
    <row r="18" spans="1:33" ht="19.5" customHeight="1" x14ac:dyDescent="0.25">
      <c r="A18" s="16">
        <v>13</v>
      </c>
      <c r="B18" s="15" t="str">
        <f>Fixture!C17&amp;" vs "&amp;Fixture!F17</f>
        <v>Brasil vs Marruecos</v>
      </c>
      <c r="C18" s="47" t="str">
        <f>IF(ISNUMBER(Fixture!D17),Fixture!D17&amp;"-"&amp;Fixture!E17,"")</f>
        <v/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</row>
    <row r="19" spans="1:33" ht="19.5" customHeight="1" x14ac:dyDescent="0.25">
      <c r="A19" s="19">
        <v>14</v>
      </c>
      <c r="B19" s="18" t="str">
        <f>Fixture!C18&amp;" vs "&amp;Fixture!F18</f>
        <v>Haití vs Escocia</v>
      </c>
      <c r="C19" s="47" t="str">
        <f>IF(ISNUMBER(Fixture!D18),Fixture!D18&amp;"-"&amp;Fixture!E18,"")</f>
        <v/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</row>
    <row r="20" spans="1:33" ht="19.5" customHeight="1" x14ac:dyDescent="0.25">
      <c r="A20" s="16">
        <v>15</v>
      </c>
      <c r="B20" s="15" t="str">
        <f>Fixture!C19&amp;" vs "&amp;Fixture!F19</f>
        <v>Escocia vs Marruecos</v>
      </c>
      <c r="C20" s="47" t="str">
        <f>IF(ISNUMBER(Fixture!D19),Fixture!D19&amp;"-"&amp;Fixture!E19,"")</f>
        <v/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</row>
    <row r="21" spans="1:33" ht="19.5" customHeight="1" x14ac:dyDescent="0.25">
      <c r="A21" s="19">
        <v>16</v>
      </c>
      <c r="B21" s="18" t="str">
        <f>Fixture!C20&amp;" vs "&amp;Fixture!F20</f>
        <v>Brasil vs Haití</v>
      </c>
      <c r="C21" s="47" t="str">
        <f>IF(ISNUMBER(Fixture!D20),Fixture!D20&amp;"-"&amp;Fixture!E20,"")</f>
        <v/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</row>
    <row r="22" spans="1:33" ht="19.5" customHeight="1" x14ac:dyDescent="0.25">
      <c r="A22" s="16">
        <v>17</v>
      </c>
      <c r="B22" s="15" t="str">
        <f>Fixture!C21&amp;" vs "&amp;Fixture!F21</f>
        <v>Escocia vs Brasil</v>
      </c>
      <c r="C22" s="47" t="str">
        <f>IF(ISNUMBER(Fixture!D21),Fixture!D21&amp;"-"&amp;Fixture!E21,"")</f>
        <v/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</row>
    <row r="23" spans="1:33" ht="19.5" customHeight="1" x14ac:dyDescent="0.25">
      <c r="A23" s="19">
        <v>18</v>
      </c>
      <c r="B23" s="18" t="str">
        <f>Fixture!C22&amp;" vs "&amp;Fixture!F22</f>
        <v>Marruecos vs Haití</v>
      </c>
      <c r="C23" s="47" t="str">
        <f>IF(ISNUMBER(Fixture!D22),Fixture!D22&amp;"-"&amp;Fixture!E22,"")</f>
        <v/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</row>
    <row r="24" spans="1:33" ht="19.5" customHeight="1" x14ac:dyDescent="0.25">
      <c r="A24" s="16">
        <v>19</v>
      </c>
      <c r="B24" s="15" t="str">
        <f>Fixture!C23&amp;" vs "&amp;Fixture!F23</f>
        <v>Estados Unidos vs Paraguay</v>
      </c>
      <c r="C24" s="47" t="str">
        <f>IF(ISNUMBER(Fixture!D23),Fixture!D23&amp;"-"&amp;Fixture!E23,"")</f>
        <v/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</row>
    <row r="25" spans="1:33" ht="19.5" customHeight="1" x14ac:dyDescent="0.25">
      <c r="A25" s="19">
        <v>20</v>
      </c>
      <c r="B25" s="18" t="str">
        <f>Fixture!C24&amp;" vs "&amp;Fixture!F24</f>
        <v>Australia vs Turquía</v>
      </c>
      <c r="C25" s="47" t="str">
        <f>IF(ISNUMBER(Fixture!D24),Fixture!D24&amp;"-"&amp;Fixture!E24,"")</f>
        <v/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</row>
    <row r="26" spans="1:33" ht="19.5" customHeight="1" x14ac:dyDescent="0.25">
      <c r="A26" s="16">
        <v>21</v>
      </c>
      <c r="B26" s="15" t="str">
        <f>Fixture!C25&amp;" vs "&amp;Fixture!F25</f>
        <v>Estados Unidos vs Australia</v>
      </c>
      <c r="C26" s="47" t="str">
        <f>IF(ISNUMBER(Fixture!D25),Fixture!D25&amp;"-"&amp;Fixture!E25,"")</f>
        <v/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</row>
    <row r="27" spans="1:33" ht="19.5" customHeight="1" x14ac:dyDescent="0.25">
      <c r="A27" s="19">
        <v>22</v>
      </c>
      <c r="B27" s="18" t="str">
        <f>Fixture!C26&amp;" vs "&amp;Fixture!F26</f>
        <v>Turquía vs Paraguay</v>
      </c>
      <c r="C27" s="47" t="str">
        <f>IF(ISNUMBER(Fixture!D26),Fixture!D26&amp;"-"&amp;Fixture!E26,"")</f>
        <v/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</row>
    <row r="28" spans="1:33" ht="19.5" customHeight="1" x14ac:dyDescent="0.25">
      <c r="A28" s="16">
        <v>23</v>
      </c>
      <c r="B28" s="15" t="str">
        <f>Fixture!C27&amp;" vs "&amp;Fixture!F27</f>
        <v>Turquía vs Estados Unidos</v>
      </c>
      <c r="C28" s="47" t="str">
        <f>IF(ISNUMBER(Fixture!D27),Fixture!D27&amp;"-"&amp;Fixture!E27,"")</f>
        <v/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</row>
    <row r="29" spans="1:33" ht="19.5" customHeight="1" x14ac:dyDescent="0.25">
      <c r="A29" s="19">
        <v>24</v>
      </c>
      <c r="B29" s="18" t="str">
        <f>Fixture!C28&amp;" vs "&amp;Fixture!F28</f>
        <v>Paraguay vs Australia</v>
      </c>
      <c r="C29" s="47" t="str">
        <f>IF(ISNUMBER(Fixture!D28),Fixture!D28&amp;"-"&amp;Fixture!E28,"")</f>
        <v/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</row>
    <row r="30" spans="1:33" ht="19.5" customHeight="1" x14ac:dyDescent="0.25">
      <c r="A30" s="16">
        <v>25</v>
      </c>
      <c r="B30" s="15" t="str">
        <f>Fixture!C29&amp;" vs "&amp;Fixture!F29</f>
        <v>Alemania vs Curazao</v>
      </c>
      <c r="C30" s="47" t="str">
        <f>IF(ISNUMBER(Fixture!D29),Fixture!D29&amp;"-"&amp;Fixture!E29,"")</f>
        <v/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 spans="1:33" ht="19.5" customHeight="1" x14ac:dyDescent="0.25">
      <c r="A31" s="19">
        <v>26</v>
      </c>
      <c r="B31" s="18" t="str">
        <f>Fixture!C30&amp;" vs "&amp;Fixture!F30</f>
        <v>Costa de Marfil vs Ecuador</v>
      </c>
      <c r="C31" s="47" t="str">
        <f>IF(ISNUMBER(Fixture!D30),Fixture!D30&amp;"-"&amp;Fixture!E30,"")</f>
        <v/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</row>
    <row r="32" spans="1:33" ht="19.5" customHeight="1" x14ac:dyDescent="0.25">
      <c r="A32" s="16">
        <v>27</v>
      </c>
      <c r="B32" s="15" t="str">
        <f>Fixture!C31&amp;" vs "&amp;Fixture!F31</f>
        <v>Alemania vs Costa de Marfil</v>
      </c>
      <c r="C32" s="47" t="str">
        <f>IF(ISNUMBER(Fixture!D31),Fixture!D31&amp;"-"&amp;Fixture!E31,"")</f>
        <v/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 spans="1:33" ht="19.5" customHeight="1" x14ac:dyDescent="0.25">
      <c r="A33" s="19">
        <v>28</v>
      </c>
      <c r="B33" s="18" t="str">
        <f>Fixture!C32&amp;" vs "&amp;Fixture!F32</f>
        <v>Ecuador vs Curazao</v>
      </c>
      <c r="C33" s="47" t="str">
        <f>IF(ISNUMBER(Fixture!D32),Fixture!D32&amp;"-"&amp;Fixture!E32,"")</f>
        <v/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</row>
    <row r="34" spans="1:33" ht="19.5" customHeight="1" x14ac:dyDescent="0.25">
      <c r="A34" s="16">
        <v>29</v>
      </c>
      <c r="B34" s="15" t="str">
        <f>Fixture!C33&amp;" vs "&amp;Fixture!F33</f>
        <v>Ecuador vs Alemania</v>
      </c>
      <c r="C34" s="47" t="str">
        <f>IF(ISNUMBER(Fixture!D33),Fixture!D33&amp;"-"&amp;Fixture!E33,"")</f>
        <v/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</row>
    <row r="35" spans="1:33" ht="19.5" customHeight="1" x14ac:dyDescent="0.25">
      <c r="A35" s="19">
        <v>30</v>
      </c>
      <c r="B35" s="18" t="str">
        <f>Fixture!C34&amp;" vs "&amp;Fixture!F34</f>
        <v>Curazao vs Costa de Marfil</v>
      </c>
      <c r="C35" s="47" t="str">
        <f>IF(ISNUMBER(Fixture!D34),Fixture!D34&amp;"-"&amp;Fixture!E34,"")</f>
        <v/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</row>
    <row r="36" spans="1:33" ht="19.5" customHeight="1" x14ac:dyDescent="0.25">
      <c r="A36" s="16">
        <v>31</v>
      </c>
      <c r="B36" s="15" t="str">
        <f>Fixture!C35&amp;" vs "&amp;Fixture!F35</f>
        <v>Países Bajos vs Japón</v>
      </c>
      <c r="C36" s="47" t="str">
        <f>IF(ISNUMBER(Fixture!D35),Fixture!D35&amp;"-"&amp;Fixture!E35,"")</f>
        <v/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</row>
    <row r="37" spans="1:33" ht="19.5" customHeight="1" x14ac:dyDescent="0.25">
      <c r="A37" s="19">
        <v>32</v>
      </c>
      <c r="B37" s="18" t="str">
        <f>Fixture!C36&amp;" vs "&amp;Fixture!F36</f>
        <v>Suecia vs Túnez</v>
      </c>
      <c r="C37" s="47" t="str">
        <f>IF(ISNUMBER(Fixture!D36),Fixture!D36&amp;"-"&amp;Fixture!E36,"")</f>
        <v/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</row>
    <row r="38" spans="1:33" ht="19.5" customHeight="1" x14ac:dyDescent="0.25">
      <c r="A38" s="16">
        <v>33</v>
      </c>
      <c r="B38" s="15" t="str">
        <f>Fixture!C37&amp;" vs "&amp;Fixture!F37</f>
        <v>Países Bajos vs Suecia</v>
      </c>
      <c r="C38" s="47" t="str">
        <f>IF(ISNUMBER(Fixture!D37),Fixture!D37&amp;"-"&amp;Fixture!E37,"")</f>
        <v/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</row>
    <row r="39" spans="1:33" ht="19.5" customHeight="1" x14ac:dyDescent="0.25">
      <c r="A39" s="19">
        <v>34</v>
      </c>
      <c r="B39" s="18" t="str">
        <f>Fixture!C38&amp;" vs "&amp;Fixture!F38</f>
        <v>Túnez vs Japón</v>
      </c>
      <c r="C39" s="47" t="str">
        <f>IF(ISNUMBER(Fixture!D38),Fixture!D38&amp;"-"&amp;Fixture!E38,"")</f>
        <v/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</row>
    <row r="40" spans="1:33" ht="19.5" customHeight="1" x14ac:dyDescent="0.25">
      <c r="A40" s="16">
        <v>35</v>
      </c>
      <c r="B40" s="15" t="str">
        <f>Fixture!C39&amp;" vs "&amp;Fixture!F39</f>
        <v>Japón vs Suecia</v>
      </c>
      <c r="C40" s="47" t="str">
        <f>IF(ISNUMBER(Fixture!D39),Fixture!D39&amp;"-"&amp;Fixture!E39,"")</f>
        <v/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</row>
    <row r="41" spans="1:33" ht="19.5" customHeight="1" x14ac:dyDescent="0.25">
      <c r="A41" s="19">
        <v>36</v>
      </c>
      <c r="B41" s="18" t="str">
        <f>Fixture!C40&amp;" vs "&amp;Fixture!F40</f>
        <v>Túnez vs Países Bajos</v>
      </c>
      <c r="C41" s="47" t="str">
        <f>IF(ISNUMBER(Fixture!D40),Fixture!D40&amp;"-"&amp;Fixture!E40,"")</f>
        <v/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</row>
    <row r="42" spans="1:33" ht="19.5" customHeight="1" x14ac:dyDescent="0.25">
      <c r="A42" s="16">
        <v>37</v>
      </c>
      <c r="B42" s="15" t="str">
        <f>Fixture!C41&amp;" vs "&amp;Fixture!F41</f>
        <v>Bélgica vs Egipto</v>
      </c>
      <c r="C42" s="47" t="str">
        <f>IF(ISNUMBER(Fixture!D41),Fixture!D41&amp;"-"&amp;Fixture!E41,"")</f>
        <v/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</row>
    <row r="43" spans="1:33" ht="19.5" customHeight="1" x14ac:dyDescent="0.25">
      <c r="A43" s="19">
        <v>38</v>
      </c>
      <c r="B43" s="18" t="str">
        <f>Fixture!C42&amp;" vs "&amp;Fixture!F42</f>
        <v>Irán vs Nueva Zelanda</v>
      </c>
      <c r="C43" s="47" t="str">
        <f>IF(ISNUMBER(Fixture!D42),Fixture!D42&amp;"-"&amp;Fixture!E42,"")</f>
        <v/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</row>
    <row r="44" spans="1:33" ht="19.5" customHeight="1" x14ac:dyDescent="0.25">
      <c r="A44" s="16">
        <v>39</v>
      </c>
      <c r="B44" s="15" t="str">
        <f>Fixture!C43&amp;" vs "&amp;Fixture!F43</f>
        <v>Bélgica vs Irán</v>
      </c>
      <c r="C44" s="47" t="str">
        <f>IF(ISNUMBER(Fixture!D43),Fixture!D43&amp;"-"&amp;Fixture!E43,"")</f>
        <v/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</row>
    <row r="45" spans="1:33" ht="19.5" customHeight="1" x14ac:dyDescent="0.25">
      <c r="A45" s="19">
        <v>40</v>
      </c>
      <c r="B45" s="18" t="str">
        <f>Fixture!C44&amp;" vs "&amp;Fixture!F44</f>
        <v>Nueva Zelanda vs Egipto</v>
      </c>
      <c r="C45" s="47" t="str">
        <f>IF(ISNUMBER(Fixture!D44),Fixture!D44&amp;"-"&amp;Fixture!E44,"")</f>
        <v/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  <row r="46" spans="1:33" ht="19.5" customHeight="1" x14ac:dyDescent="0.25">
      <c r="A46" s="16">
        <v>41</v>
      </c>
      <c r="B46" s="15" t="str">
        <f>Fixture!C45&amp;" vs "&amp;Fixture!F45</f>
        <v>Egipto vs Irán</v>
      </c>
      <c r="C46" s="47" t="str">
        <f>IF(ISNUMBER(Fixture!D45),Fixture!D45&amp;"-"&amp;Fixture!E45,"")</f>
        <v/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</row>
    <row r="47" spans="1:33" ht="19.5" customHeight="1" x14ac:dyDescent="0.25">
      <c r="A47" s="19">
        <v>42</v>
      </c>
      <c r="B47" s="18" t="str">
        <f>Fixture!C46&amp;" vs "&amp;Fixture!F46</f>
        <v>Nueva Zelanda vs Bélgica</v>
      </c>
      <c r="C47" s="47" t="str">
        <f>IF(ISNUMBER(Fixture!D46),Fixture!D46&amp;"-"&amp;Fixture!E46,"")</f>
        <v/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</row>
    <row r="48" spans="1:33" ht="19.5" customHeight="1" x14ac:dyDescent="0.25">
      <c r="A48" s="16">
        <v>43</v>
      </c>
      <c r="B48" s="15" t="str">
        <f>Fixture!C47&amp;" vs "&amp;Fixture!F47</f>
        <v>España vs Cabo Verde</v>
      </c>
      <c r="C48" s="47" t="str">
        <f>IF(ISNUMBER(Fixture!D47),Fixture!D47&amp;"-"&amp;Fixture!E47,"")</f>
        <v/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</row>
    <row r="49" spans="1:33" ht="19.5" customHeight="1" x14ac:dyDescent="0.25">
      <c r="A49" s="19">
        <v>44</v>
      </c>
      <c r="B49" s="18" t="str">
        <f>Fixture!C48&amp;" vs "&amp;Fixture!F48</f>
        <v>Arabia Saudita vs Uruguay</v>
      </c>
      <c r="C49" s="47" t="str">
        <f>IF(ISNUMBER(Fixture!D48),Fixture!D48&amp;"-"&amp;Fixture!E48,"")</f>
        <v/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</row>
    <row r="50" spans="1:33" ht="19.5" customHeight="1" x14ac:dyDescent="0.25">
      <c r="A50" s="16">
        <v>45</v>
      </c>
      <c r="B50" s="15" t="str">
        <f>Fixture!C49&amp;" vs "&amp;Fixture!F49</f>
        <v>España vs Arabia Saudita</v>
      </c>
      <c r="C50" s="47" t="str">
        <f>IF(ISNUMBER(Fixture!D49),Fixture!D49&amp;"-"&amp;Fixture!E49,"")</f>
        <v/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</row>
    <row r="51" spans="1:33" ht="19.5" customHeight="1" x14ac:dyDescent="0.25">
      <c r="A51" s="19">
        <v>46</v>
      </c>
      <c r="B51" s="18" t="str">
        <f>Fixture!C50&amp;" vs "&amp;Fixture!F50</f>
        <v>Uruguay vs Cabo Verde</v>
      </c>
      <c r="C51" s="47" t="str">
        <f>IF(ISNUMBER(Fixture!D50),Fixture!D50&amp;"-"&amp;Fixture!E50,"")</f>
        <v/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</row>
    <row r="52" spans="1:33" ht="19.5" customHeight="1" x14ac:dyDescent="0.25">
      <c r="A52" s="16">
        <v>47</v>
      </c>
      <c r="B52" s="15" t="str">
        <f>Fixture!C51&amp;" vs "&amp;Fixture!F51</f>
        <v>Cabo Verde vs Arabia Saudita</v>
      </c>
      <c r="C52" s="47" t="str">
        <f>IF(ISNUMBER(Fixture!D51),Fixture!D51&amp;"-"&amp;Fixture!E51,"")</f>
        <v/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</row>
    <row r="53" spans="1:33" ht="19.5" customHeight="1" x14ac:dyDescent="0.25">
      <c r="A53" s="19">
        <v>48</v>
      </c>
      <c r="B53" s="18" t="str">
        <f>Fixture!C52&amp;" vs "&amp;Fixture!F52</f>
        <v>Uruguay vs España</v>
      </c>
      <c r="C53" s="47" t="str">
        <f>IF(ISNUMBER(Fixture!D52),Fixture!D52&amp;"-"&amp;Fixture!E52,"")</f>
        <v/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</row>
    <row r="54" spans="1:33" ht="19.5" customHeight="1" x14ac:dyDescent="0.25">
      <c r="A54" s="16">
        <v>49</v>
      </c>
      <c r="B54" s="15" t="str">
        <f>Fixture!C53&amp;" vs "&amp;Fixture!F53</f>
        <v>Francia vs Senegal</v>
      </c>
      <c r="C54" s="47" t="str">
        <f>IF(ISNUMBER(Fixture!D53),Fixture!D53&amp;"-"&amp;Fixture!E53,"")</f>
        <v/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</row>
    <row r="55" spans="1:33" ht="19.5" customHeight="1" x14ac:dyDescent="0.25">
      <c r="A55" s="19">
        <v>50</v>
      </c>
      <c r="B55" s="18" t="str">
        <f>Fixture!C54&amp;" vs "&amp;Fixture!F54</f>
        <v>Irak vs Noruega</v>
      </c>
      <c r="C55" s="47" t="str">
        <f>IF(ISNUMBER(Fixture!D54),Fixture!D54&amp;"-"&amp;Fixture!E54,"")</f>
        <v/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</row>
    <row r="56" spans="1:33" ht="19.5" customHeight="1" x14ac:dyDescent="0.25">
      <c r="A56" s="16">
        <v>51</v>
      </c>
      <c r="B56" s="15" t="str">
        <f>Fixture!C55&amp;" vs "&amp;Fixture!F55</f>
        <v>Francia vs Irak</v>
      </c>
      <c r="C56" s="47" t="str">
        <f>IF(ISNUMBER(Fixture!D55),Fixture!D55&amp;"-"&amp;Fixture!E55,"")</f>
        <v/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</row>
    <row r="57" spans="1:33" ht="19.5" customHeight="1" x14ac:dyDescent="0.25">
      <c r="A57" s="19">
        <v>52</v>
      </c>
      <c r="B57" s="18" t="str">
        <f>Fixture!C56&amp;" vs "&amp;Fixture!F56</f>
        <v>Noruega vs Senegal</v>
      </c>
      <c r="C57" s="47" t="str">
        <f>IF(ISNUMBER(Fixture!D56),Fixture!D56&amp;"-"&amp;Fixture!E56,"")</f>
        <v/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</row>
    <row r="58" spans="1:33" ht="19.5" customHeight="1" x14ac:dyDescent="0.25">
      <c r="A58" s="16">
        <v>53</v>
      </c>
      <c r="B58" s="15" t="str">
        <f>Fixture!C57&amp;" vs "&amp;Fixture!F57</f>
        <v>Noruega vs Francia</v>
      </c>
      <c r="C58" s="47" t="str">
        <f>IF(ISNUMBER(Fixture!D57),Fixture!D57&amp;"-"&amp;Fixture!E57,"")</f>
        <v/>
      </c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</row>
    <row r="59" spans="1:33" ht="19.5" customHeight="1" x14ac:dyDescent="0.25">
      <c r="A59" s="19">
        <v>54</v>
      </c>
      <c r="B59" s="18" t="str">
        <f>Fixture!C58&amp;" vs "&amp;Fixture!F58</f>
        <v>Senegal vs Irak</v>
      </c>
      <c r="C59" s="47" t="str">
        <f>IF(ISNUMBER(Fixture!D58),Fixture!D58&amp;"-"&amp;Fixture!E58,"")</f>
        <v/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</row>
    <row r="60" spans="1:33" ht="19.5" customHeight="1" x14ac:dyDescent="0.25">
      <c r="A60" s="16">
        <v>55</v>
      </c>
      <c r="B60" s="15" t="str">
        <f>Fixture!C59&amp;" vs "&amp;Fixture!F59</f>
        <v>Argentina vs Argelia</v>
      </c>
      <c r="C60" s="47" t="str">
        <f>IF(ISNUMBER(Fixture!D59),Fixture!D59&amp;"-"&amp;Fixture!E59,"")</f>
        <v/>
      </c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</row>
    <row r="61" spans="1:33" ht="19.5" customHeight="1" x14ac:dyDescent="0.25">
      <c r="A61" s="19">
        <v>56</v>
      </c>
      <c r="B61" s="18" t="str">
        <f>Fixture!C60&amp;" vs "&amp;Fixture!F60</f>
        <v>Austria vs Jordania</v>
      </c>
      <c r="C61" s="47" t="str">
        <f>IF(ISNUMBER(Fixture!D60),Fixture!D60&amp;"-"&amp;Fixture!E60,"")</f>
        <v/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</row>
    <row r="62" spans="1:33" ht="19.5" customHeight="1" x14ac:dyDescent="0.25">
      <c r="A62" s="16">
        <v>57</v>
      </c>
      <c r="B62" s="15" t="str">
        <f>Fixture!C61&amp;" vs "&amp;Fixture!F61</f>
        <v>Argentina vs Austria</v>
      </c>
      <c r="C62" s="47" t="str">
        <f>IF(ISNUMBER(Fixture!D61),Fixture!D61&amp;"-"&amp;Fixture!E61,"")</f>
        <v/>
      </c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</row>
    <row r="63" spans="1:33" ht="19.5" customHeight="1" x14ac:dyDescent="0.25">
      <c r="A63" s="19">
        <v>58</v>
      </c>
      <c r="B63" s="18" t="str">
        <f>Fixture!C62&amp;" vs "&amp;Fixture!F62</f>
        <v>Jordania vs Argelia</v>
      </c>
      <c r="C63" s="47" t="str">
        <f>IF(ISNUMBER(Fixture!D62),Fixture!D62&amp;"-"&amp;Fixture!E62,"")</f>
        <v/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</row>
    <row r="64" spans="1:33" ht="19.5" customHeight="1" x14ac:dyDescent="0.25">
      <c r="A64" s="16">
        <v>59</v>
      </c>
      <c r="B64" s="15" t="str">
        <f>Fixture!C63&amp;" vs "&amp;Fixture!F63</f>
        <v>Argelia vs Austria</v>
      </c>
      <c r="C64" s="47" t="str">
        <f>IF(ISNUMBER(Fixture!D63),Fixture!D63&amp;"-"&amp;Fixture!E63,"")</f>
        <v/>
      </c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</row>
    <row r="65" spans="1:33" ht="19.5" customHeight="1" x14ac:dyDescent="0.25">
      <c r="A65" s="19">
        <v>60</v>
      </c>
      <c r="B65" s="18" t="str">
        <f>Fixture!C64&amp;" vs "&amp;Fixture!F64</f>
        <v>Jordania vs Argentina</v>
      </c>
      <c r="C65" s="47" t="str">
        <f>IF(ISNUMBER(Fixture!D64),Fixture!D64&amp;"-"&amp;Fixture!E64,"")</f>
        <v/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</row>
    <row r="66" spans="1:33" ht="19.5" customHeight="1" x14ac:dyDescent="0.25">
      <c r="A66" s="16">
        <v>61</v>
      </c>
      <c r="B66" s="15" t="str">
        <f>Fixture!C65&amp;" vs "&amp;Fixture!F65</f>
        <v>Portugal vs Rep. D. Congo</v>
      </c>
      <c r="C66" s="47" t="str">
        <f>IF(ISNUMBER(Fixture!D65),Fixture!D65&amp;"-"&amp;Fixture!E65,"")</f>
        <v/>
      </c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</row>
    <row r="67" spans="1:33" ht="19.5" customHeight="1" x14ac:dyDescent="0.25">
      <c r="A67" s="19">
        <v>62</v>
      </c>
      <c r="B67" s="18" t="str">
        <f>Fixture!C66&amp;" vs "&amp;Fixture!F66</f>
        <v>Uzbekistán vs Colombia</v>
      </c>
      <c r="C67" s="47" t="str">
        <f>IF(ISNUMBER(Fixture!D66),Fixture!D66&amp;"-"&amp;Fixture!E66,"")</f>
        <v/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</row>
    <row r="68" spans="1:33" ht="19.5" customHeight="1" x14ac:dyDescent="0.25">
      <c r="A68" s="16">
        <v>63</v>
      </c>
      <c r="B68" s="15" t="str">
        <f>Fixture!C67&amp;" vs "&amp;Fixture!F67</f>
        <v>Portugal vs Uzbekistán</v>
      </c>
      <c r="C68" s="47" t="str">
        <f>IF(ISNUMBER(Fixture!D67),Fixture!D67&amp;"-"&amp;Fixture!E67,"")</f>
        <v/>
      </c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</row>
    <row r="69" spans="1:33" ht="19.5" customHeight="1" x14ac:dyDescent="0.25">
      <c r="A69" s="19">
        <v>64</v>
      </c>
      <c r="B69" s="18" t="str">
        <f>Fixture!C68&amp;" vs "&amp;Fixture!F68</f>
        <v>Colombia vs Rep. D. Congo</v>
      </c>
      <c r="C69" s="47" t="str">
        <f>IF(ISNUMBER(Fixture!D68),Fixture!D68&amp;"-"&amp;Fixture!E68,"")</f>
        <v/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</row>
    <row r="70" spans="1:33" ht="19.5" customHeight="1" x14ac:dyDescent="0.25">
      <c r="A70" s="16">
        <v>65</v>
      </c>
      <c r="B70" s="15" t="str">
        <f>Fixture!C69&amp;" vs "&amp;Fixture!F69</f>
        <v>Colombia vs Portugal</v>
      </c>
      <c r="C70" s="47" t="str">
        <f>IF(ISNUMBER(Fixture!D69),Fixture!D69&amp;"-"&amp;Fixture!E69,"")</f>
        <v/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</row>
    <row r="71" spans="1:33" ht="19.5" customHeight="1" x14ac:dyDescent="0.25">
      <c r="A71" s="19">
        <v>66</v>
      </c>
      <c r="B71" s="18" t="str">
        <f>Fixture!C70&amp;" vs "&amp;Fixture!F70</f>
        <v>Rep. D. Congo vs Uzbekistán</v>
      </c>
      <c r="C71" s="47" t="str">
        <f>IF(ISNUMBER(Fixture!D70),Fixture!D70&amp;"-"&amp;Fixture!E70,"")</f>
        <v/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</row>
    <row r="72" spans="1:33" ht="19.5" customHeight="1" x14ac:dyDescent="0.25">
      <c r="A72" s="16">
        <v>67</v>
      </c>
      <c r="B72" s="15" t="str">
        <f>Fixture!C71&amp;" vs "&amp;Fixture!F71</f>
        <v>Inglaterra vs Croacia</v>
      </c>
      <c r="C72" s="47" t="str">
        <f>IF(ISNUMBER(Fixture!D71),Fixture!D71&amp;"-"&amp;Fixture!E71,"")</f>
        <v/>
      </c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</row>
    <row r="73" spans="1:33" ht="19.5" customHeight="1" x14ac:dyDescent="0.25">
      <c r="A73" s="19">
        <v>68</v>
      </c>
      <c r="B73" s="18" t="str">
        <f>Fixture!C72&amp;" vs "&amp;Fixture!F72</f>
        <v>Ghana vs Panamá</v>
      </c>
      <c r="C73" s="47" t="str">
        <f>IF(ISNUMBER(Fixture!D72),Fixture!D72&amp;"-"&amp;Fixture!E72,"")</f>
        <v/>
      </c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</row>
    <row r="74" spans="1:33" ht="19.5" customHeight="1" x14ac:dyDescent="0.25">
      <c r="A74" s="16">
        <v>69</v>
      </c>
      <c r="B74" s="15" t="str">
        <f>Fixture!C73&amp;" vs "&amp;Fixture!F73</f>
        <v>Inglaterra vs Ghana</v>
      </c>
      <c r="C74" s="47" t="str">
        <f>IF(ISNUMBER(Fixture!D73),Fixture!D73&amp;"-"&amp;Fixture!E73,"")</f>
        <v/>
      </c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</row>
    <row r="75" spans="1:33" ht="19.5" customHeight="1" x14ac:dyDescent="0.25">
      <c r="A75" s="19">
        <v>70</v>
      </c>
      <c r="B75" s="18" t="str">
        <f>Fixture!C74&amp;" vs "&amp;Fixture!F74</f>
        <v>Panamá vs Croacia</v>
      </c>
      <c r="C75" s="47" t="str">
        <f>IF(ISNUMBER(Fixture!D74),Fixture!D74&amp;"-"&amp;Fixture!E74,"")</f>
        <v/>
      </c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</row>
    <row r="76" spans="1:33" ht="19.5" customHeight="1" x14ac:dyDescent="0.25">
      <c r="A76" s="16">
        <v>71</v>
      </c>
      <c r="B76" s="15" t="str">
        <f>Fixture!C75&amp;" vs "&amp;Fixture!F75</f>
        <v>Inglaterra vs Panamá</v>
      </c>
      <c r="C76" s="47" t="str">
        <f>IF(ISNUMBER(Fixture!D75),Fixture!D75&amp;"-"&amp;Fixture!E75,"")</f>
        <v/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</row>
    <row r="77" spans="1:33" ht="19.5" customHeight="1" x14ac:dyDescent="0.25">
      <c r="A77" s="19">
        <v>72</v>
      </c>
      <c r="B77" s="18" t="str">
        <f>Fixture!C76&amp;" vs "&amp;Fixture!F76</f>
        <v>Croacia vs Ghana</v>
      </c>
      <c r="C77" s="47" t="str">
        <f>IF(ISNUMBER(Fixture!D76),Fixture!D76&amp;"-"&amp;Fixture!E76,"")</f>
        <v/>
      </c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</row>
  </sheetData>
  <mergeCells count="17"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2026-06-10T19:37:51Z</dcterms:modified>
  <dc:language>en-US</dc:language>
</cp:coreProperties>
</file>